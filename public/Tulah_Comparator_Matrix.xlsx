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ator Matrix" sheetId="1" r:id="rId5"/>
    <sheet state="hidden" name="Claude Cache" sheetId="2" r:id="rId6"/>
    <sheet state="visible" name="Benchmark Analysis" sheetId="3" r:id="rId7"/>
  </sheets>
  <definedNames>
    <definedName hidden="1" localSheetId="0" name="_xlnm._FilterDatabase">'Comparator Matrix'!$A$2:$BU$34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clinically supervised, technology-based medical, diagnostic, regenerative, aesthetic or performance capability requiring dedicated equipment beyond standard spa or fitness amenities.</t>
      </text>
    </comment>
    <comment authorId="0" ref="G2">
      <text>
        <t xml:space="preserve">One primary / one secondary from:
- UHNW
- HNW
- Affluent Wellness
- Medical Tourism
- High Performance / Biohacker
- Corporate Wellness
- Mixed</t>
      </text>
    </comment>
    <comment authorId="0" ref="H2">
      <text>
        <t xml:space="preserve">Complete at the end once all are relative</t>
      </text>
    </comment>
    <comment authorId="0" ref="M2">
      <text>
        <t xml:space="preserve">Range: Indicative Signals
1: Wellness Heavy
2: Wellness Leaning
3: Balanced
4: Clinical Leaning
5: Clinical Heavy</t>
      </text>
    </comment>
    <comment authorId="0" ref="N2">
      <text>
        <t xml:space="preserve">Staying residentially (hotel or not) is available</t>
      </text>
    </comment>
    <comment authorId="0" ref="O2">
      <text>
        <t xml:space="preserve">Available for 'Opportunistic Hotel Guests' to drop into</t>
      </text>
    </comment>
    <comment authorId="0" ref="S2">
      <text>
        <t xml:space="preserve">Entire property footprint (hotel or standalone clinic campus)</t>
      </text>
    </comment>
    <comment authorId="0" ref="T2">
      <text>
        <t xml:space="preserve">Gross Floor Area of the entire facility/building</t>
      </text>
    </comment>
    <comment authorId="0" ref="U2">
      <text>
        <t xml:space="preserve">The publicly stated square footage of the wellness/longevity facility (as marketed), even if it includes consult rooms and treatment space.</t>
      </text>
    </comment>
    <comment authorId="0" ref="V2">
      <text>
        <t xml:space="preserve">All rooms used for clinical, diagnostic, procedural, surgical, aesthetic, consultation, or therapist-led treatments — excluding guest bedrooms and communal facilities.</t>
      </text>
    </comment>
    <comment authorId="0" ref="X2">
      <text>
        <t xml:space="preserve">A clinically supervised, technology-based medical, diagnostic, regenerative, aesthetic or performance capability requiring dedicated equipment beyond standard spa or fitness amenities.</t>
      </text>
    </comment>
    <comment authorId="0" ref="Y2">
      <text>
        <t xml:space="preserve">Standardised prompt for Perplexity Research:
List all physical specialist medical / longevity facilities and major capital equipment at:
[FACILITY NAME – LOCATION]
(Only this site. Do not include other brand locations.)
Filter results strictly by the following categories:
Diagnostics &amp; Imaging (physical diagnostic platforms only)
Labs &amp; Advanced Testing (physical lab infrastructure only — clearly state if on-site; exclude individual test panels)
Regenerative / Cell Therapy Infrastructure (equipment or dedicated units only; exclude named therapies)
IV / Infusion Infrastructure (dedicated suites or equipment only; exclude specific IV formulations)
Longevity Tech / Biohacking (major installed technology platforms only)
Medical Aesthetics (capital device platforms only; exclude injectable treatments)
Specialist Movement / Performance Testing (clinical testing systems only)
Strictly exclude:
Individual treatments, protocols, or named programmes
Blood panels, genomic panels, microbiome tests, or lab assays
IV formulations (e.g. NAD+, Vitamin C, detox infusions)
Consumables or pharmaceutical therapies
Pools, saunas, hydrotherapy areas, generic gyms
F&amp;B, retail, relaxation spaces
Marketing claims without physical equipment reference
Output format:
Facilities grouped under the categories above
Short equipment/facility name
1-line description of function
Direct source link per item
At the end:
Category counts
Total facility/equipment count
“Not Confirmed” section (items referenced at brand level but not site-specific)
No analysis. Inventory only. Count only physical infrastructure and installed capital equipment.</t>
      </text>
    </comment>
    <comment authorId="0" ref="Z2">
      <text>
        <t xml:space="preserve">Prompt:
Do they have any formal partnerships with any mediacl/clinical/hospital institutions nearby for extra access to facilities or expertise or is it fully self-contained?</t>
      </text>
    </comment>
    <comment authorId="0" ref="AA2">
      <text>
        <t xml:space="preserve">Or allocated hotel rooms</t>
      </text>
    </comment>
    <comment authorId="0" ref="AI2">
      <text>
        <t xml:space="preserve">Included in packages</t>
      </text>
    </comment>
    <comment authorId="0" ref="AN2">
      <text>
        <t xml:space="preserve">The total number of specialist staff (including doctors), but extending to other disciplines</t>
      </text>
    </comment>
    <comment authorId="0" ref="AQ2">
      <text>
        <t xml:space="preserve">Relative to 'Stated Wellness Area'</t>
      </text>
    </comment>
    <comment authorId="0" ref="AS2">
      <text>
        <t xml:space="preserve">If public info exists</t>
      </text>
    </comment>
    <comment authorId="0" ref="AT2">
      <text>
        <t xml:space="preserve">1: High
2: Very high
3: Extreme</t>
      </text>
    </comment>
    <comment authorId="0" ref="AW2">
      <text>
        <t xml:space="preserve">Prompt:
Please investigate a full outline of the programmes offered by [name], prioritising their own information where possible (e.g. brochures and web pages), including description, durations and prices for each</t>
      </text>
    </comment>
    <comment authorId="0" ref="BC2">
      <text>
        <t xml:space="preserve">Prompt: 
Now a full outline of all their a la carte treatments (if they offer a la carte), and their prices and details as available</t>
      </text>
    </comment>
    <comment authorId="0" ref="BG2">
      <text>
        <t xml:space="preserve">Prompt:
Now, conduct a full outline/investigation into their membership options (if they have any) and provide details as to how many there are, what they entail, what duration options there are, and what they cost (as well as whether there's a joining fee)</t>
      </text>
    </comment>
    <comment authorId="0" ref="BI2">
      <text>
        <t xml:space="preserve">Check for joining fees</t>
      </text>
    </comment>
    <comment authorId="0" ref="BO2">
      <text>
        <t xml:space="preserve">Prompt:
Is there any integration of programmes or treatments or products with any of the room rates or is this all separate?</t>
      </text>
    </comment>
    <comment authorId="0" ref="P4">
      <text>
        <t xml:space="preserve">There is no standalone, tiered membership operated by CLP Montreux itself — the memberships sit with Longevity Hubs (urban satellites) and Holistic Health (supplements arm), not the Swiss clinic as a recurring-access model.</t>
      </text>
    </comment>
    <comment authorId="0" ref="S4">
      <text>
        <t xml:space="preserve">https://www.architectes.ch/fr/reportages/clinique-la-prairie-63128</t>
      </text>
    </comment>
    <comment authorId="0" ref="U4">
      <text>
        <t xml:space="preserve">4,500m2 "SPA &amp; restaurant building" + separate 1,000m2 medical imaging centre</t>
      </text>
    </comment>
    <comment authorId="0" ref="AA4">
      <text>
        <t xml:space="preserve">Separately, Medical Center has 20 post-op rooms + 6 suites for hospitalised/surgical patients</t>
      </text>
    </comment>
    <comment authorId="0" ref="AN4">
      <text>
        <t xml:space="preserve">"A Medical Center with over 55 doctors and 25 specialties"
https://www.cliniquelaprairiemedical.com/en/medical-check-up/
Other source says 350 total but this includes everyone beyond the core wellness/clinical team, so wouldn't be comparable to embedded concepts if we're talking just about the wellness/longevity facility</t>
      </text>
    </comment>
    <comment authorId="0" ref="AT4">
      <text>
        <t xml:space="preserve">A multi-building medical campus with 3T MRI, CT, full imaging floor, on-site lab, 3 operating theatres, 26 recovery rooms, 55+ physicians, and integrated 5-star accommodation places CLP at the very top end of capital intensity relative to peers.</t>
      </text>
    </comment>
    <comment authorId="0" ref="AY4">
      <text>
        <t xml:space="preserve">Skin Cell Boost</t>
      </text>
    </comment>
    <comment authorId="0" ref="AZ4">
      <text>
        <t xml:space="preserve">Healthy Weight (extended format)</t>
      </text>
    </comment>
    <comment authorId="0" ref="BD4">
      <text>
        <t xml:space="preserve">Only isolated fee publicly available is the cardiology consultation</t>
      </text>
    </comment>
    <comment authorId="0" ref="BE4">
      <text>
        <t xml:space="preserve">À la carte treatment pricing is not publicly disclosed; only isolated consultation fees (from ~CHF 350 / ~$390) are confirmed, with most services priced on request or bundled within residential programmes.</t>
      </text>
    </comment>
    <comment authorId="0" ref="F5">
      <text>
        <t xml:space="preserve">Strategically, it is a light-clinical, diagnostics-led longevity expression (DHA-licensed polyclinic, medical practitioners on staff, injectables/IV/tech-led diagnostics), even though it sits in a luxury hotel and lacks hospital-grade infrastructure — it is materially more medical than “Luxury Wellness Retreat” and more longevity-led than “Hybrid” in brand intent.</t>
      </text>
    </comment>
    <comment authorId="0" ref="S5">
      <text>
        <t xml:space="preserve">Entirety of One Za'abeel</t>
      </text>
    </comment>
    <comment authorId="0" ref="T5">
      <text>
        <t xml:space="preserve">No source — Kerzner, Ithra Dubai, One&amp;Only, Nikken Sekkei, or any secondary source — publishes a separate GFA figure for the One&amp;Only hotel portion of the complex alone.</t>
      </text>
    </comment>
    <comment authorId="0" ref="AA5">
      <text>
        <t xml:space="preserve">178 rooms + 51 suites
No evidence of rooms formally allocated to the Longevity Hub; Sanctuary Suites include CLP benefits but remain part of the general hotel inventory, not dedicated Hub keys.</t>
      </text>
    </comment>
    <comment authorId="0" ref="AB5">
      <text>
        <t xml:space="preserve">178 rooms + 51 suites
No evidence of rooms formally allocated to the Longevity Hub; Sanctuary Suites include CLP benefits but remain part of the general hotel inventory, not dedicated Hub keys.</t>
      </text>
    </comment>
    <comment authorId="0" ref="AC5">
      <text>
        <t xml:space="preserve">Owners of the 94 One&amp;Only Private Homes are described as receiving “complimentary use of all One&amp;Only Resort facilities” and hotel-wide discounts, which likely includes access to the shared gym and wellness areas within the Longevity Hub; however, there is no public confirmation that this extends to CLP’s clinical programmes or memberships, which should be assumed to remain separately paid.
Source: https://drehomes.com/admin_xcs6iwyiueuu8wd/assets/media/project/pdf/proj_brochure_3862_One%20&amp;%20Only%20Private%20Homes%20Brochure.pdf
Reply:
	94 O&amp;O branded resi specifically</t>
      </text>
    </comment>
    <comment authorId="0" ref="AE5">
      <text>
        <t xml:space="preserve">132 rooms at the SIRO (no explicit link with the Longevity Hub given it's a separate concept, but anyone can use the Longevity Hub if they pay to, so these rooms may draw some, though can't be considered extended feeders).
264 other residences at The Residences tower, not affiliated with One&amp;Only, and don't get any privileged access, but again, residents can use it if they want to.</t>
      </text>
    </comment>
    <comment authorId="0" ref="AL5">
      <text>
        <t xml:space="preserve">Longevity Hub Dubai operates under its own Dubai Health Authority polyclinic licence (“One Za’abeel Polyclinic”), rather than under the hotel or a hospital partner.</t>
      </text>
    </comment>
    <comment authorId="0" ref="AM5">
      <text>
        <t xml:space="preserve">Logging 2 confirmed doctors (Dermatologist + GP); “9 medical practitioners” includes allied health roles (e.g. physiotherapist, longevity coach), so full MD count is not publicly verified.</t>
      </text>
    </comment>
    <comment authorId="0" ref="AN5">
      <text>
        <t xml:space="preserve">9 medical practitioners (including a dermatologist, GP, physiotherapist, and longevity coach), 12 wellbeing practitioners, 5 movement specialists</t>
      </text>
    </comment>
    <comment authorId="0" ref="AT5">
      <text>
        <t xml:space="preserve">Purpose-built 3,800 sqm DHA-licensed medical wellness hub with advanced longevity technologies and thermal infrastructure, but without heavy diagnostics, inpatient or surgical facilities.</t>
      </text>
    </comment>
    <comment authorId="0" ref="AW5">
      <text>
        <t xml:space="preserve">Urban hub model; primarily treatment- and membership-led. Only one structured residential programme.</t>
      </text>
    </comment>
    <comment authorId="0" ref="AX5">
      <text>
        <t xml:space="preserve">https://www.kerznercommunications.com/oneonly-one-zaabeel-launches-the-worlds-first-longevity-hub-by-clinique-la-prairie-city-wellness-retreat/?lang=eng</t>
      </text>
    </comment>
    <comment authorId="0" ref="BA5">
      <text>
        <t xml:space="preserve">Unpublished (have reached out to possibly find out)</t>
      </text>
    </comment>
    <comment authorId="0" ref="BB5">
      <text>
        <t xml:space="preserve">Unpublished (have reached out to possibly find out)</t>
      </text>
    </comment>
    <comment authorId="0" ref="BD5">
      <text>
        <t xml:space="preserve">Longevity Path to Detox – third-party source
Reply:
	Marked as resolved
Reply:
	Re-opened</t>
      </text>
    </comment>
    <comment authorId="0" ref="BE5">
      <text>
        <t xml:space="preserve">Signature experiences price</t>
      </text>
    </comment>
    <comment authorId="0" ref="BI5">
      <text>
        <t xml:space="preserve">Longevity Privilege (1 year – AED 45,000): Includes 2 full annual diagnostic assessments (bloods, body composition, heavy metals/vitamins, skin analysis), quarterly nutrition reviews and ongoing longevity coach access, plus a monthly intervention plan (1 longevity tech session + 1 wellbeing treatment + 1 movement session), movement facility access and selected hotel benefits (10% F&amp;B, valet, events, global Hub privileges).
Longevity Premium (3 / 6 / 12 months – AED 35,000 / 59,000 / 99,000): Includes all Privilege diagnostics and follow-up structure but with a weekly intervention plan (1 tech + 1 wellbeing + 1 movement session per week), weekly cryotherapy, one year of Age-Defy supplements (on 12-month tier), enhanced F&amp;B benefits (15%), and the same broader Hub access privileges.</t>
      </text>
    </comment>
    <comment authorId="0" ref="M7">
      <text>
        <t xml:space="preserve">Mandatory medical oversight, robust diagnostics and physician-supervised metabolic interventions, but not a hospital-grade or disease-treating facility.</t>
      </text>
    </comment>
    <comment authorId="0" ref="AA7">
      <text>
        <t xml:space="preserve">Rooms and suites (more of a 'health resort' than purist clinic like CLP)</t>
      </text>
    </comment>
    <comment authorId="0" ref="AM7">
      <text>
        <t xml:space="preserve">https://www.aol.com/inside-switzerland-medical-palace-where-120000507.html</t>
      </text>
    </comment>
    <comment authorId="0" ref="BA7">
      <text>
        <t xml:space="preserve">$9,300 including accommodation depending on room tier</t>
      </text>
    </comment>
    <comment authorId="0" ref="BB7">
      <text>
        <t xml:space="preserve">$18,700 depending on room tier</t>
      </text>
    </comment>
    <comment authorId="0" ref="F8">
      <text>
        <t xml:space="preserve">More specifically: a medicalised detox methodology embedded within a luxury resort environment.
While it incorporates longevity diagnostics and sits inside a high-end hotel, the Chenot Method is fundamentally detox-led (hydrotherapy spine, structured diet, purification protocols), rather than cutting-edge biohacking or broad integrative medicine. The resort context elevates the experience, but the core engine is structured detoxification.</t>
      </text>
    </comment>
    <comment authorId="0" ref="T8">
      <text>
        <t xml:space="preserve">The most specific publicly disclosed hotel-only figure comes from Arhi.pro (project architect), which states the One&amp;Only hotel spans 35,000 m². Converting 35,000 m² × 10.7639 = 376,737 sq ft, rounded to ~376,700 sq ft. This excludes the wider Portonovi development (which totals ~136,000–150,000 m² across residences, marina and infrastructure) and refers to the standalone hotel building including guestrooms, Chenot Espace (~4,000 m²), F&amp;B, event space and back-of-house areas.
Sources:
Arhi.pro — One&amp;Only Portonovi: https://www.arhipro.com/one-only-portonovi
GMW Mimarlık — Portonovi Essence: https://www.gmwmimarlik.com/projects/view/Portonovi-Montenegro-Essence/59
Bemax — Portonovi Resort Village: https://bemax.me/project/portonovi-resort-vilage/</t>
      </text>
    </comment>
    <comment authorId="0" ref="AB8">
      <text>
        <t xml:space="preserve">105 rooms, 6 suites, 12 villas</t>
      </text>
    </comment>
    <comment authorId="0" ref="AE8">
      <text>
        <t xml:space="preserve">There are approximately 208 other residential units in the Portonovi development, comprising Village Residences (1–3 bed apartments and villas), Marina Residences (studios to 4-bed waterfront units) and a small number of ultra-premium Sky Villas (duplex penthouses). All benefit from access to the resort’s marina and amenities.</t>
      </text>
    </comment>
    <comment authorId="0" ref="AM8">
      <text>
        <t xml:space="preserve">1 × Medical Doctor (Internal Medicine / Cardiology)
1 × Energetic Doctor (TCM / Integrative Medicine / Acupuncture)</t>
      </text>
    </comment>
    <comment authorId="0" ref="AT8">
      <text>
        <t xml:space="preserve">Purpose-built 4,000 sqm medical spa with cryotherapy, IV/ozone infrastructure and structured diagnostics, materially above a standard resort spa but below hospital- or institute-scale clinical build intensity.</t>
      </text>
    </comment>
    <comment authorId="0" ref="BD8">
      <text>
        <t xml:space="preserve">Neuro-Acoustic Deep Relaxation, 30 min</t>
      </text>
    </comment>
    <comment authorId="0" ref="BE8">
      <text>
        <t xml:space="preserve">HydraFacial Platinum + Booster</t>
      </text>
    </comment>
    <comment authorId="0" ref="BI8">
      <text>
        <t xml:space="preserve">Information direct from the spa reception via email</t>
      </text>
    </comment>
    <comment authorId="0" ref="C10">
      <text>
        <t xml:space="preserve">Flagship</t>
      </text>
    </comment>
    <comment authorId="0" ref="S10">
      <text>
        <t xml:space="preserve">https://www.cultureandcream.com/detox/?lang=en</t>
      </text>
    </comment>
    <comment authorId="0" ref="T10">
      <text>
        <t xml:space="preserve">https://travellermade.com/hotel-partners-europe/sha-spain/</t>
      </text>
    </comment>
    <comment authorId="0" ref="U10">
      <text>
        <t xml:space="preserve">https://www.fenners-reisen.de/wp-content/uploads/2025/10/sha-wellness-clinic-spain-dokumente4.pdf</t>
      </text>
    </comment>
    <comment authorId="0" ref="V10">
      <text>
        <t xml:space="preserve">https://www.fenners-reisen.de/wp-content/uploads/2025/10/sha-wellness-clinic-spain-dokumente4.pdf</t>
      </text>
    </comment>
    <comment authorId="0" ref="AA10">
      <text>
        <t xml:space="preserve">93 suites and 1 5-bedroom villa</t>
      </text>
    </comment>
    <comment authorId="0" ref="AE10">
      <text>
        <t xml:space="preserve">216-room Hotel Sun Palace Albir &amp; Spa, and 380 apartments at the Albir Garden Resort
But they don't have any privileged access, and Sun Palace is 1km away and Albir Garden 2km awa</t>
      </text>
    </comment>
    <comment authorId="0" ref="AM10">
      <text>
        <t xml:space="preserve">https://www.perowneinternational.com/whats-new/introducing-sha-wellness-clinic-spain-global-pioneer-integrated-medical-holistic-wellness/
Reply:
	Marked as resolved
Reply:
	Re-opened</t>
      </text>
    </comment>
    <comment authorId="0" ref="AN10">
      <text>
        <t xml:space="preserve">https://birdtravelpr.com/2023/11/01/sha-wellness-clinic-celebrates-its-15-year-anniversary/</t>
      </text>
    </comment>
    <comment authorId="0" ref="AX10">
      <text>
        <t xml:space="preserve">To be compared against their programme catalogue, once received</t>
      </text>
    </comment>
    <comment authorId="0" ref="BC10">
      <text>
        <t xml:space="preserve">From their brochure
https://drive.google.com/open?id=1kL1UXpPspjkxcstIlGnO-Z9Hgu_KKUgy&amp;usp=drive_fs</t>
      </text>
    </comment>
    <comment authorId="0" ref="BD10">
      <text>
        <t xml:space="preserve">Advanced Plasma Renewal</t>
      </text>
    </comment>
    <comment authorId="0" ref="BE10">
      <text>
        <t xml:space="preserve">Advanced Plasma Renewal</t>
      </text>
    </comment>
    <comment authorId="0" ref="C11">
      <text>
        <t xml:space="preserve">On par with Spain</t>
      </text>
    </comment>
    <comment authorId="0" ref="U11">
      <text>
        <t xml:space="preserve">Estimated around 91,000 sq ft on precedent from Spain and Mexico relative to total area</t>
      </text>
    </comment>
    <comment authorId="0" ref="AC11">
      <text>
        <t xml:space="preserve">97 villas and 62 apartments</t>
      </text>
    </comment>
    <comment authorId="0" ref="AE11">
      <text>
        <t xml:space="preserve">Three nearby operational hotels within ~5 minutes of the SHA Emirates site in the Ghantoot / AlJurf corridor provide a small external feeder base totalling 284 rooms: Anantara Santorini Abu Dhabi Retreat (22 rooms) within the AlJurf community itself, plus Cassells Ghantoot Hotel &amp; Resort (88 rooms) and Golden Tulip Al Jazira Hotel &amp; Resort (174 rooms). The latter two are mid-tier properties and therefore likely represent occasional rather than core demand, while Anantara Santorini is the closest and most demographically aligned feeder. Broader Dubai and Abu Dhabi hotel markets were excluded due to the 45–60 minute distance, making them unrealistic for regular wellness day-use demand.</t>
      </text>
    </comment>
    <comment authorId="0" ref="AL11">
      <text>
        <t xml:space="preserve">Will operate under Abu Dhabi Department of Health (DOH) licensing — AlJurf falls within Abu Dhabi emirate. All physicians will require DOH professional licences. SHA's clinical model (integrative medicine, preventive/anti-ageing, regenerative, holistic) will need to comply with DOH facility licensing requirements. Exact licensing status and clinical registrations pending (under construction). Targeting WELL Building Standard certification (Delos) for the built environment.</t>
      </text>
    </comment>
    <comment authorId="0" ref="AR11">
      <text>
        <t xml:space="preserve">Really a purpose-built wellness island</t>
      </text>
    </comment>
    <comment authorId="0" ref="AW11">
      <text>
        <t xml:space="preserve">Expected to mirror Spain as it's a full-spec clinic rather than a secondary expression</t>
      </text>
    </comment>
    <comment authorId="0" ref="I13">
      <text>
        <t xml:space="preserve">(hotel since 1974; Mayr-method medical spa from 1984; Lanserhof team from 1998)</t>
      </text>
    </comment>
    <comment authorId="0" ref="U13">
      <text>
        <t xml:space="preserve">Estimation from Perplexity based on total site and Sylt precedent as not publicly disclosed.
Response: https://www.perplexity.ai/search/06b787f0-ab09-468d-891b-6e76928a6700#1</t>
      </text>
    </comment>
    <comment authorId="0" ref="Y13">
      <text>
        <t xml:space="preserve">No MRI, but there is one at the Arts Club</t>
      </text>
    </comment>
    <comment authorId="0" ref="AM13">
      <text>
        <t xml:space="preserve">Lanserhof does not publicly disclose an exact number of employed doctors. The 5–8 on-site physician estimate is derived by Perplexity from job listings confirming full-time GPs, internists and cardiology expertise, combined with operational requirements (67 rooms, each guest assigned a doctor, multiple consultations per stay and on-call coverage). This makes ~5–8 resident physicians a directionally robust estimate, excluding the ~35 visiting university consultants who support the clinic on a consulting basis.</t>
      </text>
    </comment>
    <comment authorId="0" ref="AN13">
      <text>
        <t xml:space="preserve">The ~50 on-site clinical specialists figure reflects the size of Lanserhof Lans’ combined medical and therapy department, including physicians, therapists, diagnostic staff and movement specialists. The internal breakdown is directionally estimated from programme structure, recruitment listings and role descriptions: roughly 5–8 physicians, 30–35 therapists, 5–8 medical assistants / diagnostic staff, 2–3 psychotherapy or mental-coaching specialists, 1–2 nutrition specialists, 2–3 movement trainers, and 2–3 aesthetics practitioners.
Main sources used
Lanserhof Lans recruitment video describing the “team of around 50” in the medical and therapy department:
https://www.youtube.com/watch?v=kH2bHFUy1Zo  
Lanserhof physician job listing describing the interdisciplinary medical team (GPs, internal medicine, cardiology and therapists):
https://talents.studysmarter.de/companies/lanserhof-group/allgemeinmedizinerin-und-fachaerztin-fuer-innere-medizin-all-genders-35-bis-40-wochenstunden-ab-jaenner-2026-18639947/ 
Lanserhof Lans programme brochure outlining the clinical consultation structure and treatment disciplines:
https://lanserhof.com/wp-content/uploads/2023/12/LHL_Broschuere_DE_2024_OhnePreise.pdf</t>
      </text>
    </comment>
    <comment authorId="0" ref="AP13">
      <text>
        <t xml:space="preserve">Lanserhof Lans is supported by ~35 external specialist physicians, primarily affiliated with the Medical University of Innsbruck and nearby university hospitals, who provide disciplines not permanently staffed on-site on a visiting consulting basis. The most cited source is a Lanserhof management interview noting the resort is supported by “over 35 medical consultants from university medicine.”
https://lanserhof.com/en/health-guide/interview-with-lanserhof-lans-hotel-manager-andrea-csics/</t>
      </text>
    </comment>
    <comment authorId="0" ref="B14">
      <text>
        <t xml:space="preserve">ARTSLANS URBAN LIMITED — JV between Lanserhof Group (Dr Christian Harisch) &amp; The Arts Club (Mayfair)</t>
      </text>
    </comment>
    <comment authorId="0" ref="U14">
      <text>
        <t xml:space="preserve">Across 6 floors</t>
      </text>
    </comment>
    <comment authorId="0" ref="AM18">
      <text>
        <t xml:space="preserve">Visiting [Scientific Committee doctors visit periodically; not permanently on-site at Dolomiti]</t>
      </text>
    </comment>
    <comment authorId="0" ref="S20">
      <text>
        <t xml:space="preserve">The Sunset mixed-use site</t>
      </text>
    </comment>
    <comment authorId="0" ref="V20">
      <text>
        <t xml:space="preserve">Estimated 13–18</t>
      </text>
    </comment>
    <comment authorId="0" ref="AP20">
      <text>
        <t xml:space="preserve">Primarily self-contained medical model with its own physicians, nurse practitioners, and nurses delivering core services (IV therapy, regenerative procedures, diagnostics, aesthetics). External involvement is limited to advisory roles (Scientific Advisory Council) and referrals out for specialist care, imaging (MRI/CT), and lab processing, rather than visiting clinicians operating within the facility.</t>
      </text>
    </comment>
    <comment authorId="0" ref="AZ20">
      <text>
        <t xml:space="preserve">(Executive Physical is described as a 1-year programme)</t>
      </text>
    </comment>
    <comment authorId="0" ref="S21">
      <text>
        <t xml:space="preserve">(retail tenant within SAAS Tower / Sonder Business Bay; 39-storey, 401-unit tower)</t>
      </text>
    </comment>
    <comment authorId="0" ref="AE21">
      <text>
        <t xml:space="preserve">The most direct feeder for Next Health Dubai is Sonder Business Bay, the serviced-apartment hotel operating within the same SAAS Tower above the clinic. This property contains ~371–403 serviced apartment units, providing a built-in pool of short- and mid-stay guests who share the same building and amenities.
While several large hotels in the surrounding Business Bay / Downtown Dubai area (e.g., JW Marriott Marquis, SLS Dubai, Taj Dubai) add thousands of additional potential guests within a short radius, the most immediate and measurable feeder pool is the ~400 units within the tower itself, which effectively functions as the clinic’s captive accommodation base.</t>
      </text>
    </comment>
    <comment authorId="0" ref="BA21">
      <text>
        <t xml:space="preserve">Lowest membership (for access to the cheapest programme) is Optimize for ~545 (AED 1,999) per month</t>
      </text>
    </comment>
    <comment authorId="0" ref="BB21">
      <text>
        <t xml:space="preserve">For the year</t>
      </text>
    </comment>
    <comment authorId="0" ref="U22">
      <text>
        <t xml:space="preserve">Ali'i Room (converted meeting room)</t>
      </text>
    </comment>
    <comment authorId="0" ref="AP22">
      <text>
        <t xml:space="preserve">• Dr. Darshan Shah, MD — Next Health Founder &amp; CEO and a board-certified surgeon. He has personally treated patients at the Maui location (notably biohacker Ben Greenfield received stem cell and ozone treatments from him there), but he visits periodically rather than being stationed on-site.
•	Dr. Kyle Maehara, MD — Medical Director of Next Health Maui, based in Honolulu at his own practice (Hawaii Wellness MD). He oversees protocols and prescribing authority.
Not including the Advisory Council</t>
      </text>
    </comment>
    <comment authorId="0" ref="A24">
      <text>
        <t xml:space="preserve">Probably far too wellness leaning</t>
      </text>
    </comment>
    <comment authorId="0" ref="K24">
      <text>
        <t xml:space="preserve">Guerlain Spa</t>
      </text>
    </comment>
    <comment authorId="0" ref="AM24">
      <text>
        <t xml:space="preserve">None [no doctors on staff; Clinical Director Oliver Patrick is a Physiologist, not a medical doctor]</t>
      </text>
    </comment>
    <comment authorId="0" ref="BD24">
      <text>
        <t xml:space="preserve">[Pillar individual session prices are not published; included in membership or at extra cost for hotel guests]</t>
      </text>
    </comment>
    <comment authorId="0" ref="BE24">
      <text>
        <t xml:space="preserve">[individual session prices not published; Transformation Programme: £15,500 / ~$20,150 for 12 weeks]</t>
      </text>
    </comment>
    <comment authorId="0" ref="V25">
      <text>
        <t xml:space="preserve">[estimated 8-10 based on 6,800 sq ft facility and service range]</t>
      </text>
    </comment>
    <comment authorId="0" ref="BA25">
      <text>
        <t xml:space="preserve">Entry-level wellness assessment packages (e.g., Visbody + Nutritional Blueprint).</t>
      </text>
    </comment>
    <comment authorId="0" ref="BB25">
      <text>
        <t xml:space="preserve">Stem-cell-inclusive regenerative protocols within the Platinum/Rejuvenescence framework (pricing varies by treatment type and cell count).</t>
      </text>
    </comment>
    <comment authorId="0" ref="BG26">
      <text>
        <t xml:space="preserve">Reached out for comment</t>
      </text>
    </comment>
    <comment authorId="0" ref="V28">
      <text>
        <t xml:space="preserve">Approx. 8 [4 single treatment rooms (Prithvi/Earth, Surya/Sun, Agni/Fire, Vayu/Air), 1 double spa room (Chandra/Moon), Samskara room (yoga/sound healing), Moksha room (meditation/Himalayan salt), Karma room (workshops/events, capacity 20); plus Ayurveda consultation room — per Scale Magazine, February 2026]</t>
      </text>
    </comment>
    <comment authorId="0" ref="BG28">
      <text>
        <t xml:space="preserve">Emailed for comment</t>
      </text>
    </comment>
    <comment authorId="0" ref="A29">
      <text>
        <t xml:space="preserve">Could be swapped out for AlSerkal Avenue, Al Quoz location as this has its 7,000 sq ft size listed, but DIFC is said to be the flagship in Dubai</t>
      </text>
    </comment>
    <comment authorId="0" ref="S29">
      <text>
        <t xml:space="preserve">Gate Avenue at DIFC total development: 660,000 sq ft (per DIFC / Propsearch). DNA Health clinic unit size not publicly disclosed. Unit 103, Zone C. Gate Avenue retail/clinic units typically range from 1,500-4,000 sq ft; a clinic of DNA Health's service breadth (consultations, IV lounge, aesthetics, treatment rooms, blood draw) likely occupies the upper end of this range — estimated 2,500-4,000 sq ft.
For comparison: DNA Health's Alserkal Avenue clinic is 7,000 sq ft (per Love That Design); Abu Dhabi flagship is 11,000+ sq ft (per PR Newswire, February 2025). The DIFC location is a smaller urban format within a commercial walkway.</t>
      </text>
    </comment>
    <comment authorId="0" ref="BA29">
      <text>
        <t xml:space="preserve">AED 3,000 (~$817) [Get-in-Shape weight loss programme, 1 month]</t>
      </text>
    </comment>
    <comment authorId="0" ref="BB29">
      <text>
        <t xml:space="preserve">AED 35,000 (~$9,537) [Longevity Health Screening, 6 months, 15,000+ parameters]</t>
      </text>
    </comment>
    <comment authorId="0" ref="F33">
      <text>
        <t xml:space="preserve">Integrative clinical wellness combining modern clinical science and ancient healing traditions (Ayurveda, Chinese medicine, Tibetan Sowa Rigpa, functional medicine, genome/microbiome, advanced diagnostics, clinical &amp; surgical procedures, sports medicine &amp; rehab, yoga/fitness, emotional therapy)</t>
      </text>
    </comment>
    <comment authorId="0" ref="Q33">
      <text>
        <t xml:space="preserve">'Journey'-led, but can be tailored and personalised with treatments according to necessity</t>
      </text>
    </comment>
    <comment authorId="0" ref="S33">
      <text>
        <t xml:space="preserve">30-acre plot</t>
      </text>
    </comment>
    <comment authorId="0" ref="X33">
      <text>
        <t xml:space="preserve">Needs confirmation, but also perhaps doesn't include Maitra facilities, and perhaps the difference comes from the amount published/detailed</t>
      </text>
    </comment>
    <comment authorId="0" ref="Y33">
      <text>
        <t xml:space="preserve">From all materials shared plus the transcript from the meeting with Dr Ravi</t>
      </text>
    </comment>
    <comment authorId="0" ref="AA33">
      <text>
        <t xml:space="preserve">35 currently, but 65 planned</t>
      </text>
    </comment>
    <comment authorId="0" ref="AL33">
      <text>
        <t xml:space="preserve">On-site clinic licensed via partnership with Meitra Hospital; includes ICU, operation theatre and sterilisation; elective and advanced procedures can be performed on-site with visiting specialists</t>
      </text>
    </comment>
    <comment authorId="0" ref="AN33">
      <text>
        <t xml:space="preserve">7 dedicated experts (plus lead physician; access to 200+ specialists via Meitra)
May need to confirm this, but given they have access to 200+ at Meitra, perhaps they don't need more than 7..</t>
      </text>
    </comment>
    <comment authorId="0" ref="AU33">
      <text>
        <t xml:space="preserve">Journeys are personalised solutions rather than fixed packages; recommended length-of-stay tailored to guest needs; programmes not sold as preset packages. Sold by room/nights rather than programmes.</t>
      </text>
    </comment>
    <comment authorId="0" ref="AY33">
      <text>
        <t xml:space="preserve">Discover Clinical Wellness, all others are 7 days minimum</t>
      </text>
    </comment>
    <comment authorId="0" ref="BA33">
      <text>
        <t xml:space="preserve">Worked out by choosing the shorted-listed programme (Discover Clinical Wellness), which is cheap due to its 4-day duration</t>
      </text>
    </comment>
    <comment authorId="0" ref="BB33">
      <text>
        <t xml:space="preserve">This is from any 21-day Clinical Journey</t>
      </text>
    </comment>
    <comment authorId="0" ref="BD33">
      <text>
        <t xml:space="preserve">Not charged per treatment</t>
      </text>
    </comment>
    <comment authorId="0" ref="BE33">
      <text>
        <t xml:space="preserve">Not charged per treatment</t>
      </text>
    </comment>
    <comment authorId="0" ref="T34">
      <text>
        <t xml:space="preserve">Estimation based on Perplexity Research datapoints of room sizes and totals, and public space calculations, range being 480,000–590,000 sq ft, would need confirmation from the hotel.</t>
      </text>
    </comment>
    <comment authorId="0" ref="AB34">
      <text>
        <t xml:space="preserve">The Palace: 231
Arabian Court: 172
Residence &amp; Spa: 49</t>
      </text>
    </comment>
    <comment authorId="0" ref="AE34">
      <text>
        <t xml:space="preserve">95 rooms at One&amp;Only The Palm (made up of 65 rooms, 28 suites and 4 villas), if considered a potential feeder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Min: 840.0 — Next Health at Four Seasons Resort Maui (Wailea, HI, USA)
Max: 86,111.3 — SHA Wellness Clinic, Spain
Ordered (high to low):
1. SHA Wellness Clinic, Spain — 86,111.3
2. Clinique La Prairie, Montreux — 59,200.0
3. Lefay Resort &amp; SPA Dolomiti — 53,820.0
4. Chenot Palace Weggis — 53,819.6
5. Chenot Espace — 43,000.0
6. Longevity Hub by Clinique La Prairie — 41,000.0
7. Tulah at One&amp;Only Royal Mirage — 40,000.0
8. Lanserhof Lans (Austria) — 32,291.7
9. Pillar Wellbeing at Raffles London at The OWO — 27,000.0
10. Longevity Health &amp; Wellness Club at Kempinski The Boulevard (Dubai, UAE) — 26,910.0
11. Sohum Wellness Sanctuary (Dubai, UAE) — 25,000.0
12. Lanserhof at The Arts Club (London, UK) — 21,528.0
13. Next Health, West Hollywood (Los Angeles, CA, USA) — 10,000.0
14. AEON Clinic at Atlantis The Royal (Dubai, UAE) — 6,800.0
15. Next Health at Four Seasons Resort Maui (Wailea, HI, USA) — 840.0</t>
      </text>
    </comment>
    <comment authorId="0" ref="I8">
      <text>
        <t xml:space="preserve">Min: 32,291.7 — Lanserhof Lans (Austria)
Max: 86,111.3 — SHA Wellness Clinic, Spain
Ordered (high to low):
1. SHA Wellness Clinic, Spain — 86,111.3
2. Clinique La Prairie, Montreux — 59,200.0
3. Lefay Resort &amp; SPA Dolomiti — 53,820.0
4. Chenot Palace Weggis — 53,819.6
5. Lanserhof Lans (Austria) — 32,291.7</t>
      </text>
    </comment>
    <comment authorId="0" ref="L8">
      <text>
        <t xml:space="preserve">Min: 840.0 — Next Health at Four Seasons Resort Maui (Wailea, HI, USA)
Max: 43,000.0 — Chenot Espace
Ordered (high to low):
1. Chenot Espace — 43,000.0
2. Longevity Hub by Clinique La Prairie — 41,000.0
3. Tulah at One&amp;Only Royal Mirage — 40,000.0
4. Pillar Wellbeing at Raffles London at The OWO — 27,000.0
5. Longevity Health &amp; Wellness Club at Kempinski The Boulevard (Dubai, UAE) — 26,910.0
6. Lanserhof at The Arts Club (London, UK) — 21,528.0
7. AEON Clinic at Atlantis The Royal (Dubai, UAE) — 6,800.0
8. Next Health at Four Seasons Resort Maui (Wailea, HI, USA) — 840.0</t>
      </text>
    </comment>
    <comment authorId="0" ref="O8">
      <text>
        <t xml:space="preserve">Min: 6,800.0 — AEON Clinic at Atlantis The Royal (Dubai, UAE)
Max: 41,000.0 — Longevity Hub by Clinique La Prairie
Ordered (high to low):
1. Longevity Hub by Clinique La Prairie — 41,000.0
2. Tulah at One&amp;Only Royal Mirage — 40,000.0
3. Longevity Health &amp; Wellness Club at Kempinski The Boulevard (Dubai, UAE) — 26,910.0
4. Sohum Wellness Sanctuary (Dubai, UAE) — 25,000.0
5. AEON Clinic at Atlantis The Royal (Dubai, UAE) — 6,800.0</t>
      </text>
    </comment>
    <comment authorId="0" ref="F9">
      <text>
        <t xml:space="preserve">Min: 0.0 — BodySpace at Mandarin Oriental Hyde Park
Max: 110.0 — SHA Emirates, Al Jurf (UAE)
Ordered (high to low):
1. SHA Emirates, Al Jurf (UAE) — 110.0
2. Chenot Palace Weggis — 97.0
3. SHA Wellness Clinic, Spain — 90.0
4. Clinique La Prairie, Montreux — 65.0
5. Lanserhof Lans (Austria) — 48.0
6. Longevity Hub by Clinique La Prairie — 29.0
7. Chenot Espace — 28.0
8. Lefay Resort &amp; SPA Dolomiti — 22.0
9. Next Health, West Hollywood (Los Angeles, CA, USA) — 15.0
10. Next Health Dubai (Business Bay, Dubai, UAE) — 15.0
11. Tulah Clinical Wellness — 14.0
12. Lanserhof at The Arts Club (London, UK) — 14.0
13. Longevity Health &amp; Wellness Club at Kempinski The Boulevard (Dubai, UAE) — 10.0
14. Sohum Wellness Sanctuary (Dubai, UAE) — 8.0
15. Pillar Wellbeing at Raffles London at The OWO — 5.0
16. Next Health at Four Seasons Resort Maui (Wailea, HI, USA) — 1.0
17. BodySpace at Mandarin Oriental Hyde Park — 0.0</t>
      </text>
    </comment>
    <comment authorId="0" ref="I9">
      <text>
        <t xml:space="preserve">Min: 14.0 — Tulah Clinical Wellness
Max: 110.0 — SHA Emirates, Al Jurf (UAE)
Ordered (high to low):
1. SHA Emirates, Al Jurf (UAE) — 110.0
2. Chenot Palace Weggis — 97.0
3. SHA Wellness Clinic, Spain — 90.0
4. Clinique La Prairie, Montreux — 65.0
5. Lanserhof Lans (Austria) — 48.0
6. Lefay Resort &amp; SPA Dolomiti — 22.0
7. Tulah Clinical Wellness — 14.0</t>
      </text>
    </comment>
    <comment authorId="0" ref="L9">
      <text>
        <t xml:space="preserve">Min: 0.0 — BodySpace at Mandarin Oriental Hyde Park
Max: 29.0 — Longevity Hub by Clinique La Prairie
Ordered (high to low):
1. Longevity Hub by Clinique La Prairie — 29.0
2. Chenot Espace — 28.0
3. Lanserhof at The Arts Club (London, UK) — 14.0
4. Longevity Health &amp; Wellness Club at Kempinski The Boulevard (Dubai, UAE) — 10.0
5. Pillar Wellbeing at Raffles London at The OWO — 5.0
6. Next Health at Four Seasons Resort Maui (Wailea, HI, USA) — 1.0
7. BodySpace at Mandarin Oriental Hyde Park — 0.0</t>
      </text>
    </comment>
    <comment authorId="0" ref="O9">
      <text>
        <t xml:space="preserve">Min: 8.0 — Sohum Wellness Sanctuary (Dubai, UAE)
Max: 29.0 — Longevity Hub by Clinique La Prairie
Ordered (high to low):
1. Longevity Hub by Clinique La Prairie — 29.0
2. Next Health Dubai (Business Bay, Dubai, UAE) — 15.0
3. Longevity Health &amp; Wellness Club at Kempinski The Boulevard (Dubai, UAE) — 10.0
4. Sohum Wellness Sanctuary (Dubai, UAE) — 8.0</t>
      </text>
    </comment>
    <comment authorId="0" ref="F10">
      <text>
        <t xml:space="preserve">Min: 1.9 — Pillar Wellbeing at Raffles London at The OWO
Max: 18.0 — Chenot Palace Weggis
Ordered (high to low):
1. Chenot Palace Weggis — 18.0
2. Next Health, West Hollywood (Los Angeles, CA, USA) — 15.0
3. Lanserhof Lans (Austria) — 14.9
4. Next Health at Four Seasons Resort Maui (Wailea, HI, USA) — 11.9
5. Clinique La Prairie, Montreux — 11.0
6. SHA Wellness Clinic, Spain — 10.5
7. Longevity Hub by Clinique La Prairie — 7.1
8. Chenot Espace — 6.5
9. Lanserhof at The Arts Club (London, UK) — 6.5
10. Lefay Resort &amp; SPA Dolomiti — 4.1
11. Longevity Health &amp; Wellness Club at Kempinski The Boulevard (Dubai, UAE) — 3.7
12. Sohum Wellness Sanctuary (Dubai, UAE) — 3.2
13. Pillar Wellbeing at Raffles London at The OWO — 1.9</t>
      </text>
    </comment>
    <comment authorId="0" ref="I10">
      <text>
        <t xml:space="preserve">Min: 4.1 — Lefay Resort &amp; SPA Dolomiti
Max: 18.0 — Chenot Palace Weggis
Ordered (high to low):
1. Chenot Palace Weggis — 18.0
2. Lanserhof Lans (Austria) — 14.9
3. Clinique La Prairie, Montreux — 11.0
4. SHA Wellness Clinic, Spain — 10.5
5. Lefay Resort &amp; SPA Dolomiti — 4.1</t>
      </text>
    </comment>
    <comment authorId="0" ref="L10">
      <text>
        <t xml:space="preserve">Min: 1.9 — Pillar Wellbeing at Raffles London at The OWO
Max: 11.9 — Next Health at Four Seasons Resort Maui (Wailea, HI, USA)
Ordered (high to low):
1. Next Health at Four Seasons Resort Maui (Wailea, HI, USA) — 11.9
2. Longevity Hub by Clinique La Prairie — 7.1
3. Chenot Espace — 6.5
4. Lanserhof at The Arts Club (London, UK) — 6.5
5. Longevity Health &amp; Wellness Club at Kempinski The Boulevard (Dubai, UAE) — 3.7
6. Pillar Wellbeing at Raffles London at The OWO — 1.9</t>
      </text>
    </comment>
    <comment authorId="0" ref="O10">
      <text>
        <t xml:space="preserve">Min: 3.2 — Sohum Wellness Sanctuary (Dubai, UAE)
Max: 7.1 — Longevity Hub by Clinique La Prairie
Ordered (high to low):
1. Longevity Hub by Clinique La Prairie — 7.1
2. Longevity Health &amp; Wellness Club at Kempinski The Boulevard (Dubai, UAE) — 3.7
3. Sohum Wellness Sanctuary (Dubai, UAE) — 3.2</t>
      </text>
    </comment>
    <comment authorId="0" ref="F15">
      <text>
        <t xml:space="preserve">Min: 0.0 — Sohum Wellness Sanctuary (Dubai, UAE)
Max: 54.0 — SHA Wellness Clinic, Spain
Ordered (high to low):
1. SHA Wellness Clinic, Spain — 54.0
2. Chenot Palace Weggis — 46.0
3. Clinique La Prairie, Montreux — 40.0
4. Lanserhof Lans (Austria) — 38.0
5. Tulah Clinical Wellness — 30.0
6. Longevity Health &amp; Wellness Club at Kempinski The Boulevard (Dubai, UAE) — 26.0
7. Lanserhof at The Arts Club (London, UK) — 24.0
8. Longevity Hub by Clinique La Prairie — 23.0
9. Chenot Espace — 22.0
10. AEON Clinic at Atlantis The Royal (Dubai, UAE) — 22.0
11. BodySpace at Mandarin Oriental Hyde Park — 19.0
12. Next Health Dubai (Business Bay, Dubai, UAE) — 18.0
13. DNA Health &amp; Wellness at DIFC Gate Avenue (Dubai, UAE) — 17.0
14. Next Health, West Hollywood (Los Angeles, CA, USA) — 15.0
15. Pillar Wellbeing at Raffles London at The OWO — 12.0
16. Lefay Resort &amp; SPA Dolomiti — 5.0
17. Next Health at Four Seasons Resort Maui (Wailea, HI, USA) — 4.0
18. Sohum Wellness Sanctuary (Dubai, UAE) — 0.0</t>
      </text>
    </comment>
    <comment authorId="0" ref="I15">
      <text>
        <t xml:space="preserve">Min: 5.0 — Lefay Resort &amp; SPA Dolomiti
Max: 54.0 — SHA Wellness Clinic, Spain
Ordered (high to low):
1. SHA Wellness Clinic, Spain — 54.0
2. Chenot Palace Weggis — 46.0
3. Clinique La Prairie, Montreux — 40.0
4. Lanserhof Lans (Austria) — 38.0
5. Tulah Clinical Wellness — 30.0
6. Lefay Resort &amp; SPA Dolomiti — 5.0</t>
      </text>
    </comment>
    <comment authorId="0" ref="L15">
      <text>
        <t xml:space="preserve">Min: 4.0 — Next Health at Four Seasons Resort Maui (Wailea, HI, USA)
Max: 26.0 — Longevity Health &amp; Wellness Club at Kempinski The Boulevard (Dubai, UAE)
Ordered (high to low):
1. Longevity Health &amp; Wellness Club at Kempinski The Boulevard (Dubai, UAE) — 26.0
2. Lanserhof at The Arts Club (London, UK) — 24.0
3. Longevity Hub by Clinique La Prairie — 23.0
4. Chenot Espace — 22.0
5. AEON Clinic at Atlantis The Royal (Dubai, UAE) — 22.0
6. BodySpace at Mandarin Oriental Hyde Park — 19.0
7. Pillar Wellbeing at Raffles London at The OWO — 12.0
8. Next Health at Four Seasons Resort Maui (Wailea, HI, USA) — 4.0</t>
      </text>
    </comment>
    <comment authorId="0" ref="O15">
      <text>
        <t xml:space="preserve">Min: 0.0 — Sohum Wellness Sanctuary (Dubai, UAE)
Max: 26.0 — Longevity Health &amp; Wellness Club at Kempinski The Boulevard (Dubai, UAE)
Ordered (high to low):
1. Longevity Health &amp; Wellness Club at Kempinski The Boulevard (Dubai, UAE) — 26.0
2. Longevity Hub by Clinique La Prairie — 23.0
3. AEON Clinic at Atlantis The Royal (Dubai, UAE) — 22.0
4. Next Health Dubai (Business Bay, Dubai, UAE) — 18.0
5. DNA Health &amp; Wellness at DIFC Gate Avenue (Dubai, UAE) — 17.0
6. Sohum Wellness Sanctuary (Dubai, UAE) — 0.0</t>
      </text>
    </comment>
    <comment authorId="0" ref="D17">
      <text>
        <t xml:space="preserve">Overall partnerships by operator:
• Clinique La Prairie, Montreux
• Tulah Clinical Wellness
• Lanserhof at The Arts Club (London, UK)
• BodySpace at Mandarin Oriental Hyde Park
• Next Health, West Hollywood (Los Angeles, CA, USA)
• Next Health Dubai (Business Bay, Dubai, UAE)
• Longevity Health &amp; Wellness Club at Kempinski The Boulevard (Dubai, UAE)
• DNA Health &amp; Wellness at DIFC Gate Avenue (Dubai, UAE)
Without partnership:
• Longevity Hub by Clinique La Prairie
• Tulah at One&amp;Only Royal Mirage
• Chenot Palace Weggis
• Chenot Espace
• SHA Wellness Clinic, Spain
• SHA Emirates, Al Jurf (UAE)
• Lanserhof Lans (Austria)
• Lefay Resort &amp; SPA Dolomiti
• Pillar Wellbeing at Raffles London at The OWO
• AEON Clinic at Atlantis The Royal (Dubai, UAE)
• Next Health at Four Seasons Resort Maui (Wailea, HI, USA)
• Sohum Wellness Sanctuary (Dubai, UAE)</t>
      </text>
    </comment>
    <comment authorId="0" ref="F22">
      <text>
        <t xml:space="preserve">Min: 0.0 — BodySpace at Mandarin Oriental Hyde Park
Max: 55.0 — Clinique La Prairie, Montreux
Ordered (high to low):
1. Clinique La Prairie, Montreux — 55.0
2. SHA Wellness Clinic, Spain — 30.0
3. Lanserhof at The Arts Club (London, UK) — 16.0
4. AEON Clinic at Atlantis The Royal (Dubai, UAE) — 15.0
5. Lanserhof Lans (Austria) — 8.0
6. Chenot Palace Weggis — 6.0
7. Longevity Hub by Clinique La Prairie — 2.0
8. Chenot Espace — 2.0
9. Next Health Dubai (Business Bay, Dubai, UAE) — 2.0
10. Sohum Wellness Sanctuary (Dubai, UAE) — 2.0
11. Next Health, West Hollywood (Los Angeles, CA, USA) — 1.0
12. Next Health at Four Seasons Resort Maui (Wailea, HI, USA) — 1.0
13. DNA Health &amp; Wellness at DIFC Gate Avenue (Dubai, UAE) — 1.0
14. BodySpace at Mandarin Oriental Hyde Park — 0.0
15. Lefay Resort &amp; SPA Dolomiti — 0.0
16. Pillar Wellbeing at Raffles London at The OWO — 0.0</t>
      </text>
    </comment>
    <comment authorId="0" ref="I22">
      <text>
        <t xml:space="preserve">Min: 0.0 — Lefay Resort &amp; SPA Dolomiti
Max: 55.0 — Clinique La Prairie, Montreux
Ordered (high to low):
1. Clinique La Prairie, Montreux — 55.0
2. SHA Wellness Clinic, Spain — 30.0
3. Lanserhof Lans (Austria) — 8.0
4. Chenot Palace Weggis — 6.0
5. Lefay Resort &amp; SPA Dolomiti — 0.0</t>
      </text>
    </comment>
    <comment authorId="0" ref="L22">
      <text>
        <t xml:space="preserve">Min: 0.0 — BodySpace at Mandarin Oriental Hyde Park
Max: 16.0 — Lanserhof at The Arts Club (London, UK)
Ordered (high to low):
1. Lanserhof at The Arts Club (London, UK) — 16.0
2. AEON Clinic at Atlantis The Royal (Dubai, UAE) — 15.0
3. Longevity Hub by Clinique La Prairie — 2.0
4. Chenot Espace — 2.0
5. Next Health at Four Seasons Resort Maui (Wailea, HI, USA) — 1.0
6. BodySpace at Mandarin Oriental Hyde Park — 0.0
7. Pillar Wellbeing at Raffles London at The OWO — 0.0</t>
      </text>
    </comment>
    <comment authorId="0" ref="O22">
      <text>
        <t xml:space="preserve">Min: 1.0 — DNA Health &amp; Wellness at DIFC Gate Avenue (Dubai, UAE)
Max: 15.0 — AEON Clinic at Atlantis The Royal (Dubai, UAE)
Ordered (high to low):
1. AEON Clinic at Atlantis The Royal (Dubai, UAE) — 15.0
2. Longevity Hub by Clinique La Prairie — 2.0
3. Next Health Dubai (Business Bay, Dubai, UAE) — 2.0
4. Sohum Wellness Sanctuary (Dubai, UAE) — 2.0
5. DNA Health &amp; Wellness at DIFC Gate Avenue (Dubai, UAE) — 1.0</t>
      </text>
    </comment>
    <comment authorId="0" ref="F23">
      <text>
        <t xml:space="preserve">Min: 1.0 — Sohum Wellness Sanctuary (Dubai, UAE)
Max: 320.0 — SHA Wellness Clinic, Spain
Ordered (high to low):
1. SHA Wellness Clinic, Spain — 320.0
2. Chenot Palace Weggis — 94.0
3. Lanserhof Lans (Austria) — 42.0
4. Longevity Hub by Clinique La Prairie — 24.0
5. BodySpace at Mandarin Oriental Hyde Park — 15.0
6. Next Health, West Hollywood (Los Angeles, CA, USA) — 14.0
7. Next Health Dubai (Business Bay, Dubai, UAE) — 13.0
8. Lanserhof at The Arts Club (London, UK) — 12.0
9. Pillar Wellbeing at Raffles London at The OWO — 10.0
10. AEON Clinic at Atlantis The Royal (Dubai, UAE) — 3.0
11. Next Health at Four Seasons Resort Maui (Wailea, HI, USA) — 3.0
12. DNA Health &amp; Wellness at DIFC Gate Avenue (Dubai, UAE) — 2.0
13. Sohum Wellness Sanctuary (Dubai, UAE) — 1.0</t>
      </text>
    </comment>
    <comment authorId="0" ref="I23">
      <text>
        <t xml:space="preserve">Min: 42.0 — Lanserhof Lans (Austria)
Max: 320.0 — SHA Wellness Clinic, Spain
Ordered (high to low):
1. SHA Wellness Clinic, Spain — 320.0
2. Chenot Palace Weggis — 94.0
3. Lanserhof Lans (Austria) — 42.0</t>
      </text>
    </comment>
    <comment authorId="0" ref="L23">
      <text>
        <t xml:space="preserve">Min: 3.0 — AEON Clinic at Atlantis The Royal (Dubai, UAE)
Max: 24.0 — Longevity Hub by Clinique La Prairie
Ordered (high to low):
1. Longevity Hub by Clinique La Prairie — 24.0
2. BodySpace at Mandarin Oriental Hyde Park — 15.0
3. Lanserhof at The Arts Club (London, UK) — 12.0
4. Pillar Wellbeing at Raffles London at The OWO — 10.0
5. AEON Clinic at Atlantis The Royal (Dubai, UAE) — 3.0
6. Next Health at Four Seasons Resort Maui (Wailea, HI, USA) — 3.0</t>
      </text>
    </comment>
    <comment authorId="0" ref="O23">
      <text>
        <t xml:space="preserve">Min: 1.0 — Sohum Wellness Sanctuary (Dubai, UAE)
Max: 24.0 — Longevity Hub by Clinique La Prairie
Ordered (high to low):
1. Longevity Hub by Clinique La Prairie — 24.0
2. Next Health Dubai (Business Bay, Dubai, UAE) — 13.0
3. AEON Clinic at Atlantis The Royal (Dubai, UAE) — 3.0
4. DNA Health &amp; Wellness at DIFC Gate Avenue (Dubai, UAE) — 2.0
5. Sohum Wellness Sanctuary (Dubai, UAE) — 1.0</t>
      </text>
    </comment>
    <comment authorId="0" ref="F24">
      <text>
        <t xml:space="preserve">Min: 0.0 — Lefay Resort &amp; SPA Dolomiti
Max: 1.1 — Lanserhof at The Arts Club (London, UK)
Ordered (high to low):
1. Lanserhof at The Arts Club (London, UK) — 1.1
2. Next Health at Four Seasons Resort Maui (Wailea, HI, USA) — 1.0
3. Clinique La Prairie, Montreux — 0.8
4. SHA Wellness Clinic, Spain — 0.3
5. Sohum Wellness Sanctuary (Dubai, UAE) — 0.2
6. Lanserhof Lans (Austria) — 0.2
7. Next Health Dubai (Business Bay, Dubai, UAE) — 0.1
8. Chenot Espace — 0.1
9. Longevity Hub by Clinique La Prairie — 0.1
10. Next Health, West Hollywood (Los Angeles, CA, USA) — 0.1
11. Chenot Palace Weggis — 0.1
12. Lefay Resort &amp; SPA Dolomiti — 0.0
13. Pillar Wellbeing at Raffles London at The OWO — 0.0</t>
      </text>
    </comment>
    <comment authorId="0" ref="I24">
      <text>
        <t xml:space="preserve">Min: 0.0 — Lefay Resort &amp; SPA Dolomiti
Max: 0.8 — Clinique La Prairie, Montreux
Ordered (high to low):
1. Clinique La Prairie, Montreux — 0.8
2. SHA Wellness Clinic, Spain — 0.3
3. Lanserhof Lans (Austria) — 0.2
4. Chenot Palace Weggis — 0.1
5. Lefay Resort &amp; SPA Dolomiti — 0.0</t>
      </text>
    </comment>
    <comment authorId="0" ref="L24">
      <text>
        <t xml:space="preserve">Min: 0.0 — Pillar Wellbeing at Raffles London at The OWO
Max: 1.1 — Lanserhof at The Arts Club (London, UK)
Ordered (high to low):
1. Lanserhof at The Arts Club (London, UK) — 1.1
2. Next Health at Four Seasons Resort Maui (Wailea, HI, USA) — 1.0
3. Chenot Espace — 0.1
4. Longevity Hub by Clinique La Prairie — 0.1
5. Pillar Wellbeing at Raffles London at The OWO — 0.0</t>
      </text>
    </comment>
    <comment authorId="0" ref="O24">
      <text>
        <t xml:space="preserve">Min: 0.1 — Longevity Hub by Clinique La Prairie
Max: 0.2 — Sohum Wellness Sanctuary (Dubai, UAE)
Ordered (high to low):
1. Sohum Wellness Sanctuary (Dubai, UAE) — 0.2
2. Next Health Dubai (Business Bay, Dubai, UAE) — 0.1
3. Longevity Hub by Clinique La Prairie — 0.1</t>
      </text>
    </comment>
    <comment authorId="0" ref="F25">
      <text>
        <t xml:space="preserve">Min: 0.1 — Sohum Wellness Sanctuary (Dubai, UAE)
Max: 3.6 — SHA Wellness Clinic, Spain
Ordered (high to low):
1. SHA Wellness Clinic, Spain — 3.6
2. Next Health at Four Seasons Resort Maui (Wailea, HI, USA) — 3.0
3. Pillar Wellbeing at Raffles London at The OWO — 2.0
4. Chenot Palace Weggis — 1.0
5. Next Health, West Hollywood (Los Angeles, CA, USA) — 0.9
6. Lanserhof Lans (Austria) — 0.9
7. Next Health Dubai (Business Bay, Dubai, UAE) — 0.9
8. Lanserhof at The Arts Club (London, UK) — 0.9
9. Longevity Hub by Clinique La Prairie — 0.8
10. Sohum Wellness Sanctuary (Dubai, UAE) — 0.1</t>
      </text>
    </comment>
    <comment authorId="0" ref="I25">
      <text>
        <t xml:space="preserve">Min: 0.9 — Lanserhof Lans (Austria)
Max: 3.6 — SHA Wellness Clinic, Spain
Ordered (high to low):
1. SHA Wellness Clinic, Spain — 3.6
2. Chenot Palace Weggis — 1.0
3. Lanserhof Lans (Austria) — 0.9</t>
      </text>
    </comment>
    <comment authorId="0" ref="L25">
      <text>
        <t xml:space="preserve">Min: 0.8 — Longevity Hub by Clinique La Prairie
Max: 3.0 — Next Health at Four Seasons Resort Maui (Wailea, HI, USA)
Ordered (high to low):
1. Next Health at Four Seasons Resort Maui (Wailea, HI, USA) — 3.0
2. Pillar Wellbeing at Raffles London at The OWO — 2.0
3. Lanserhof at The Arts Club (London, UK) — 0.9
4. Longevity Hub by Clinique La Prairie — 0.8</t>
      </text>
    </comment>
    <comment authorId="0" ref="O25">
      <text>
        <t xml:space="preserve">Min: 0.1 — Sohum Wellness Sanctuary (Dubai, UAE)
Max: 0.9 — Next Health Dubai (Business Bay, Dubai, UAE)
Ordered (high to low):
1. Next Health Dubai (Business Bay, Dubai, UAE) — 0.9
2. Longevity Hub by Clinique La Prairie — 0.8
3. Sohum Wellness Sanctuary (Dubai, UAE) — 0.1</t>
      </text>
    </comment>
    <comment authorId="0" ref="F29">
      <text>
        <t xml:space="preserve">Min: 1.0 — Chenot Espace
Max: 365.0 — Next Health, West Hollywood (Los Angeles, CA, USA)
Ordered (high to low, by midpoint):
1. Next Health, West Hollywood (Los Angeles, CA, USA) — 1.0 to 365.0
2. Next Health Dubai (Business Bay, Dubai, UAE) — 1.0 to 365.0
3. DNA Health &amp; Wellness at DIFC Gate Avenue (Dubai, UAE) — 30.0 to 180.0
4. Pillar Wellbeing at Raffles London at The OWO — 84.0 to 84.0
5. BodySpace at Mandarin Oriental Hyde Park — 1.0 to 84.0
6. Lanserhof Lans (Austria) — 7.0 to 21.0
7. Lanserhof at The Arts Club (London, UK) — 7.0 to 21.0
8. Tulah Clinical Wellness — 4.0 to 21.0
9. Sohum Wellness Sanctuary (Dubai, UAE) — 3.0 to 21.0
10. SHA Wellness Clinic, Spain — 3.0 to 14.0
11. Clinique La Prairie, Montreux — 2.0 to 14.0
12. Chenot Palace Weggis — 5.0 to 7.0
13. AEON Clinic at Atlantis The Royal (Dubai, UAE) — 2.0 to 7.0
14. Longevity Hub by Clinique La Prairie — 4.0 to 4.0
15. Longevity Health &amp; Wellness Club at Kempinski The Boulevard (Dubai, UAE) — 1.0 to 7.0
16. Chenot Espace — 1.0 to 6.0
17. Lefay Resort &amp; SPA Dolomiti — 1.0 to 5.0
18. Next Health at Four Seasons Resort Maui (Wailea, HI, USA) — 1.0 to 1.0</t>
      </text>
    </comment>
    <comment authorId="0" ref="I29">
      <text>
        <t xml:space="preserve">Min: 1.0 — Lefay Resort &amp; SPA Dolomiti
Max: 21.0 — Tulah Clinical Wellness
Ordered (high to low, by midpoint):
1. Lanserhof Lans (Austria) — 7.0 to 21.0
2. Tulah Clinical Wellness — 4.0 to 21.0
3. SHA Wellness Clinic, Spain — 3.0 to 14.0
4. Clinique La Prairie, Montreux — 2.0 to 14.0
5. Chenot Palace Weggis — 5.0 to 7.0
6. Lefay Resort &amp; SPA Dolomiti — 1.0 to 5.0</t>
      </text>
    </comment>
    <comment authorId="0" ref="L29">
      <text>
        <t xml:space="preserve">Min: 1.0 — Chenot Espace
Max: 84.0 — BodySpace at Mandarin Oriental Hyde Park
Ordered (high to low, by midpoint):
1. Pillar Wellbeing at Raffles London at The OWO — 84.0 to 84.0
2. BodySpace at Mandarin Oriental Hyde Park — 1.0 to 84.0
3. Lanserhof at The Arts Club (London, UK) — 7.0 to 21.0
4. AEON Clinic at Atlantis The Royal (Dubai, UAE) — 2.0 to 7.0
5. Longevity Hub by Clinique La Prairie — 4.0 to 4.0
6. Longevity Health &amp; Wellness Club at Kempinski The Boulevard (Dubai, UAE) — 1.0 to 7.0
7. Chenot Espace — 1.0 to 6.0
8. Next Health at Four Seasons Resort Maui (Wailea, HI, USA) — 1.0 to 1.0</t>
      </text>
    </comment>
    <comment authorId="0" ref="O29">
      <text>
        <t xml:space="preserve">Min: 1.0 — Next Health Dubai (Business Bay, Dubai, UAE)
Max: 365.0 — Next Health Dubai (Business Bay, Dubai, UAE)
Ordered (high to low, by midpoint):
1. Next Health Dubai (Business Bay, Dubai, UAE) — 1.0 to 365.0
2. DNA Health &amp; Wellness at DIFC Gate Avenue (Dubai, UAE) — 30.0 to 180.0
3. Sohum Wellness Sanctuary (Dubai, UAE) — 3.0 to 21.0
4. AEON Clinic at Atlantis The Royal (Dubai, UAE) — 2.0 to 7.0
5. Longevity Hub by Clinique La Prairie — 4.0 to 4.0
6. Longevity Health &amp; Wellness Club at Kempinski The Boulevard (Dubai, UAE) — 1.0 to 7.0</t>
      </text>
    </comment>
    <comment authorId="0" ref="F30">
      <text>
        <t xml:space="preserve">Min: $99.0 — Next Health, West Hollywood (Los Angeles, CA, USA)
Max: $81,900.0 — Tulah Clinical Wellness
Ordered (high to low, by midpoint):
1. Tulah Clinical Wellness — $6,400.0 to $81,900.0
2. Clinique La Prairie, Montreux — $14,535.0 to $62,530.0
3. AEON Clinic at Atlantis The Royal (Dubai, UAE) — $270.0 to $46,000.0
4. Pillar Wellbeing at Raffles London at The OWO — $20,150.0 to $20,150.0
5. SHA Wellness Clinic, Spain — $3,130.0 to $23,660.0
6. Next Health Dubai (Business Bay, Dubai, UAE) — $545.0 to $17,700.0
7. Next Health, West Hollywood (Los Angeles, CA, USA) — $99.0 to $15,995.0
8. Chenot Palace Weggis — $6,200.0 to $8,900.0
9. Lanserhof at The Arts Club (London, UK) — $3,150.0 to $11,340.0
10. Lanserhof Lans (Austria) — $3,200.0 to $8,600.0
11. DNA Health &amp; Wellness at DIFC Gate Avenue (Dubai, UAE) — $817.0 to $9,537.0
12. BodySpace at Mandarin Oriental Hyde Park — $542.0 to $7,484.0
13. Chenot Espace — $2,400.0 to $4,600.0
14. Sohum Wellness Sanctuary (Dubai, UAE) — $463.0 to $3,675.0
15. Lefay Resort &amp; SPA Dolomiti — $338.0 to $2,823.0
16. Longevity Health &amp; Wellness Club at Kempinski The Boulevard (Dubai, UAE) — $885.0 to $1,175.0</t>
      </text>
    </comment>
    <comment authorId="0" ref="I30">
      <text>
        <t xml:space="preserve">Min: $338.0 — Lefay Resort &amp; SPA Dolomiti
Max: $81,900.0 — Tulah Clinical Wellness
Ordered (high to low, by midpoint):
1. Tulah Clinical Wellness — $6,400.0 to $81,900.0
2. Clinique La Prairie, Montreux — $14,535.0 to $62,530.0
3. SHA Wellness Clinic, Spain — $3,130.0 to $23,660.0
4. Chenot Palace Weggis — $6,200.0 to $8,900.0
5. Lanserhof Lans (Austria) — $3,200.0 to $8,600.0
6. Lefay Resort &amp; SPA Dolomiti — $338.0 to $2,823.0</t>
      </text>
    </comment>
    <comment authorId="0" ref="L30">
      <text>
        <t xml:space="preserve">Min: $270.0 — AEON Clinic at Atlantis The Royal (Dubai, UAE)
Max: $46,000.0 — AEON Clinic at Atlantis The Royal (Dubai, UAE)
Ordered (high to low, by midpoint):
1. AEON Clinic at Atlantis The Royal (Dubai, UAE) — $270.0 to $46,000.0
2. Pillar Wellbeing at Raffles London at The OWO — $20,150.0 to $20,150.0
3. Lanserhof at The Arts Club (London, UK) — $3,150.0 to $11,340.0
4. BodySpace at Mandarin Oriental Hyde Park — $542.0 to $7,484.0
5. Chenot Espace — $2,400.0 to $4,600.0
6. Longevity Health &amp; Wellness Club at Kempinski The Boulevard (Dubai, UAE) — $885.0 to $1,175.0</t>
      </text>
    </comment>
    <comment authorId="0" ref="O30">
      <text>
        <t xml:space="preserve">Min: $270.0 — AEON Clinic at Atlantis The Royal (Dubai, UAE)
Max: $46,000.0 — AEON Clinic at Atlantis The Royal (Dubai, UAE)
Ordered (high to low, by midpoint):
1. AEON Clinic at Atlantis The Royal (Dubai, UAE) — $270.0 to $46,000.0
2. Next Health Dubai (Business Bay, Dubai, UAE) — $545.0 to $17,700.0
3. DNA Health &amp; Wellness at DIFC Gate Avenue (Dubai, UAE) — $817.0 to $9,537.0
4. Sohum Wellness Sanctuary (Dubai, UAE) — $463.0 to $3,675.0
5. Longevity Health &amp; Wellness Club at Kempinski The Boulevard (Dubai, UAE) — $885.0 to $1,175.0</t>
      </text>
    </comment>
    <comment authorId="0" ref="F31">
      <text>
        <t xml:space="preserve">Min: $27.2 — DNA Health &amp; Wellness at DIFC Gate Avenue (Dubai, UAE)
Max: $6,571.4 — AEON Clinic at Atlantis The Royal (Dubai, UAE)
Ordered (high to low, by midpoint):
1. Clinique La Prairie, Montreux — $7,267.5 to $4,466.4
2. AEON Clinic at Atlantis The Royal (Dubai, UAE) — $135.0 to $6,571.4
3. Tulah Clinical Wellness — $1,600.0 to $3,900.0
4. Chenot Espace — $2,400.0 to $766.7
5. SHA Wellness Clinic, Spain — $1,043.3 to $1,690.0
6. Chenot Palace Weggis — $1,240.0 to $1,271.4
7. Longevity Health &amp; Wellness Club at Kempinski The Boulevard (Dubai, UAE) — $885.0 to $167.9
8. Lanserhof at The Arts Club (London, UK) — $450.0 to $540.0
9. Lefay Resort &amp; SPA Dolomiti — $338.0 to $564.6
10. Lanserhof Lans (Austria) — $457.1 to $409.5
11. BodySpace at Mandarin Oriental Hyde Park — $542.0 to $89.1
12. Next Health Dubai (Business Bay, Dubai, UAE) — $545.0 to $48.5
13. Pillar Wellbeing at Raffles London at The OWO — $239.9 to $239.9
14. Sohum Wellness Sanctuary (Dubai, UAE) — $154.3 to $175.0
15. Next Health, West Hollywood (Los Angeles, CA, USA) — $99.0 to $43.8
16. DNA Health &amp; Wellness at DIFC Gate Avenue (Dubai, UAE) — $27.2 to $53.0</t>
      </text>
    </comment>
    <comment authorId="0" ref="I31">
      <text>
        <t xml:space="preserve">Min: $338.0 — Lefay Resort &amp; SPA Dolomiti
Max: $4,466.4 — Clinique La Prairie, Montreux
Ordered (high to low, by midpoint):
1. Clinique La Prairie, Montreux — $7,267.5 to $4,466.4
2. Tulah Clinical Wellness — $1,600.0 to $3,900.0
3. SHA Wellness Clinic, Spain — $1,043.3 to $1,690.0
4. Chenot Palace Weggis — $1,240.0 to $1,271.4
5. Lefay Resort &amp; SPA Dolomiti — $338.0 to $564.6
6. Lanserhof Lans (Austria) — $457.1 to $409.5</t>
      </text>
    </comment>
    <comment authorId="0" ref="L31">
      <text>
        <t xml:space="preserve">Min: $135.0 — AEON Clinic at Atlantis The Royal (Dubai, UAE)
Max: $6,571.4 — AEON Clinic at Atlantis The Royal (Dubai, UAE)
Ordered (high to low, by midpoint):
1. AEON Clinic at Atlantis The Royal (Dubai, UAE) — $135.0 to $6,571.4
2. Chenot Espace — $2,400.0 to $766.7
3. Longevity Health &amp; Wellness Club at Kempinski The Boulevard (Dubai, UAE) — $885.0 to $167.9
4. Lanserhof at The Arts Club (London, UK) — $450.0 to $540.0
5. BodySpace at Mandarin Oriental Hyde Park — $542.0 to $89.1
6. Pillar Wellbeing at Raffles London at The OWO — $239.9 to $239.9</t>
      </text>
    </comment>
    <comment authorId="0" ref="O31">
      <text>
        <t xml:space="preserve">Min: $27.2 — DNA Health &amp; Wellness at DIFC Gate Avenue (Dubai, UAE)
Max: $6,571.4 — AEON Clinic at Atlantis The Royal (Dubai, UAE)
Ordered (high to low, by midpoint):
1. AEON Clinic at Atlantis The Royal (Dubai, UAE) — $135.0 to $6,571.4
2. Longevity Health &amp; Wellness Club at Kempinski The Boulevard (Dubai, UAE) — $885.0 to $167.9
3. Next Health Dubai (Business Bay, Dubai, UAE) — $545.0 to $48.5
4. Sohum Wellness Sanctuary (Dubai, UAE) — $154.3 to $175.0
5. DNA Health &amp; Wellness at DIFC Gate Avenue (Dubai, UAE) — $27.2 to $53.0</t>
      </text>
    </comment>
    <comment authorId="0" ref="F32">
      <text>
        <t xml:space="preserve">Min: 0.0 — Next Health at Four Seasons Resort Maui (Wailea, HI, USA)
Max: 14.0 — Tulah Clinical Wellness
Ordered (high to low):
1. Tulah Clinical Wellness — 14.0
2. Lefay Resort &amp; SPA Dolomiti — 11.0
3. Lanserhof Lans (Austria) — 10.0
4. SHA Wellness Clinic, Spain — 9.0
5. Clinique La Prairie, Montreux — 8.0
6. BodySpace at Mandarin Oriental Hyde Park — 8.0
7. Sohum Wellness Sanctuary (Dubai, UAE) — 8.0
8. Chenot Espace — 7.0
9. DNA Health &amp; Wellness at DIFC Gate Avenue (Dubai, UAE) — 7.0
10. Chenot Palace Weggis — 5.0
11. Longevity Health &amp; Wellness Club at Kempinski The Boulevard (Dubai, UAE) — 5.0
12. Lanserhof at The Arts Club (London, UK) — 4.0
13. AEON Clinic at Atlantis The Royal (Dubai, UAE) — 3.0
14. Next Health, West Hollywood (Los Angeles, CA, USA) — 3.0
15. Next Health Dubai (Business Bay, Dubai, UAE) — 3.0
16. Longevity Hub by Clinique La Prairie — 1.0
17. Pillar Wellbeing at Raffles London at The OWO — 1.0
18. Next Health at Four Seasons Resort Maui (Wailea, HI, USA) — 0.0</t>
      </text>
    </comment>
    <comment authorId="0" ref="I32">
      <text>
        <t xml:space="preserve">Min: 5.0 — Chenot Palace Weggis
Max: 14.0 — Tulah Clinical Wellness
Ordered (high to low):
1. Tulah Clinical Wellness — 14.0
2. Lefay Resort &amp; SPA Dolomiti — 11.0
3. Lanserhof Lans (Austria) — 10.0
4. SHA Wellness Clinic, Spain — 9.0
5. Clinique La Prairie, Montreux — 8.0
6. Chenot Palace Weggis — 5.0</t>
      </text>
    </comment>
    <comment authorId="0" ref="L32">
      <text>
        <t xml:space="preserve">Min: 0.0 — Next Health at Four Seasons Resort Maui (Wailea, HI, USA)
Max: 8.0 — BodySpace at Mandarin Oriental Hyde Park
Ordered (high to low):
1. BodySpace at Mandarin Oriental Hyde Park — 8.0
2. Chenot Espace — 7.0
3. Longevity Health &amp; Wellness Club at Kempinski The Boulevard (Dubai, UAE) — 5.0
4. Lanserhof at The Arts Club (London, UK) — 4.0
5. AEON Clinic at Atlantis The Royal (Dubai, UAE) — 3.0
6. Longevity Hub by Clinique La Prairie — 1.0
7. Pillar Wellbeing at Raffles London at The OWO — 1.0
8. Next Health at Four Seasons Resort Maui (Wailea, HI, USA) — 0.0</t>
      </text>
    </comment>
    <comment authorId="0" ref="O32">
      <text>
        <t xml:space="preserve">Min: 1.0 — Longevity Hub by Clinique La Prairie
Max: 8.0 — Sohum Wellness Sanctuary (Dubai, UAE)
Ordered (high to low):
1. Sohum Wellness Sanctuary (Dubai, UAE) — 8.0
2. DNA Health &amp; Wellness at DIFC Gate Avenue (Dubai, UAE) — 7.0
3. Longevity Health &amp; Wellness Club at Kempinski The Boulevard (Dubai, UAE) — 5.0
4. AEON Clinic at Atlantis The Royal (Dubai, UAE) — 3.0
5. Next Health Dubai (Business Bay, Dubai, UAE) — 3.0
6. Longevity Hub by Clinique La Prairie — 1.0</t>
      </text>
    </comment>
    <comment authorId="0" ref="D34">
      <text>
        <t xml:space="preserve">Examples with multi-day programmes (&gt;1 day):
1. Next Health, West Hollywood (Los Angeles, CA, USA) — 1-365 days
2. Next Health Dubai (Business Bay, Dubai, UAE) — 1-365 days
3. DNA Health &amp; Wellness at DIFC Gate Avenue (Dubai, UAE) — 30-180 days
4. Pillar Wellbeing at Raffles London at The OWO — 84-84 days
5. BodySpace at Mandarin Oriental Hyde Park — 1-84 days
6. Lanserhof at The Arts Club (London, UK) — 7-21 days
7. Lanserhof Lans (Austria) — 7-21 days
8. Tulah Clinical Wellness — 4-21 days
9. Sohum Wellness Sanctuary (Dubai, UAE) — 3-21 days
10. SHA Wellness Clinic, Spain — 3-14 days
11. Clinique La Prairie, Montreux — 2-14 days
12. Chenot Palace Weggis — 5-7 days
13. AEON Clinic at Atlantis The Royal (Dubai, UAE) — 2-7 days
14. Longevity Health &amp; Wellness Club at Kempinski The Boulevard (Dubai, UAE) — 1-7 days
15. Chenot Espace — 1-6 days
16. Lefay Resort &amp; SPA Dolomiti — 1-5 days
17. Longevity Hub by Clinique La Prairie — 4-4 days</t>
      </text>
    </comment>
    <comment authorId="0" ref="G34">
      <text>
        <t xml:space="preserve">Examples with multi-day programmes (&gt;1 day):
1. Lanserhof Lans (Austria) — 7-21 days
2. Tulah Clinical Wellness — 4-21 days
3. SHA Wellness Clinic, Spain — 3-14 days
4. Clinique La Prairie, Montreux — 2-14 days
5. Chenot Palace Weggis — 5-7 days
6. Lefay Resort &amp; SPA Dolomiti — 1-5 days</t>
      </text>
    </comment>
    <comment authorId="0" ref="J34">
      <text>
        <t xml:space="preserve">Examples with multi-day programmes (&gt;1 day):
1. Pillar Wellbeing at Raffles London at The OWO — 84-84 days
2. BodySpace at Mandarin Oriental Hyde Park — 1-84 days
3. Lanserhof at The Arts Club (London, UK) — 7-21 days
4. AEON Clinic at Atlantis The Royal (Dubai, UAE) — 2-7 days
5. Longevity Health &amp; Wellness Club at Kempinski The Boulevard (Dubai, UAE) — 1-7 days
6. Chenot Espace — 1-6 days
7. Longevity Hub by Clinique La Prairie — 4-4 days</t>
      </text>
    </comment>
    <comment authorId="0" ref="M34">
      <text>
        <t xml:space="preserve">Examples with multi-day programmes (&gt;1 day):
1. Next Health Dubai (Business Bay, Dubai, UAE) — 1-365 days
2. DNA Health &amp; Wellness at DIFC Gate Avenue (Dubai, UAE) — 30-180 days
3. Sohum Wellness Sanctuary (Dubai, UAE) — 3-21 days
4. AEON Clinic at Atlantis The Royal (Dubai, UAE) — 2-7 days
5. Longevity Health &amp; Wellness Club at Kempinski The Boulevard (Dubai, UAE) — 1-7 days
6. Longevity Hub by Clinique La Prairie — 4-4 days</t>
      </text>
    </comment>
    <comment authorId="0" ref="F40">
      <text>
        <t xml:space="preserve">Min: 18.0 — Pillar Wellbeing at Raffles London at The OWO
Max: 210.0 — SHA Wellness Clinic, Spain
Ordered (high to low):
1. SHA Wellness Clinic, Spain — 210.0
2. Lanserhof Lans (Austria) — 90.0
3. Lefay Resort &amp; SPA Dolomiti — 80.0
4. Clinique La Prairie, Montreux — 70.0
5. Lanserhof at The Arts Club (London, UK) — 70.0
6. Chenot Palace Weggis — 67.0
7. AEON Clinic at Atlantis The Royal (Dubai, UAE) — 65.0
8. DNA Health &amp; Wellness at DIFC Gate Avenue (Dubai, UAE) — 63.0
9. Chenot Espace — 60.0
10. Next Health, West Hollywood (Los Angeles, CA, USA) — 50.0
11. Next Health Dubai (Business Bay, Dubai, UAE) — 50.0
12. Tulah Clinical Wellness — 44.0
13. BodySpace at Mandarin Oriental Hyde Park — 40.0
14. Longevity Health &amp; Wellness Club at Kempinski The Boulevard (Dubai, UAE) — 40.0
15. Sohum Wellness Sanctuary (Dubai, UAE) — 35.0
16. Next Health at Four Seasons Resort Maui (Wailea, HI, USA) — 34.0
17. Longevity Hub by Clinique La Prairie — 26.0
18. Pillar Wellbeing at Raffles London at The OWO — 18.0</t>
      </text>
    </comment>
    <comment authorId="0" ref="I40">
      <text>
        <t xml:space="preserve">Min: 44.0 — Tulah Clinical Wellness
Max: 210.0 — SHA Wellness Clinic, Spain
Ordered (high to low):
1. SHA Wellness Clinic, Spain — 210.0
2. Lanserhof Lans (Austria) — 90.0
3. Lefay Resort &amp; SPA Dolomiti — 80.0
4. Clinique La Prairie, Montreux — 70.0
5. Chenot Palace Weggis — 67.0
6. Tulah Clinical Wellness — 44.0</t>
      </text>
    </comment>
    <comment authorId="0" ref="L40">
      <text>
        <t xml:space="preserve">Min: 18.0 — Pillar Wellbeing at Raffles London at The OWO
Max: 70.0 — Lanserhof at The Arts Club (London, UK)
Ordered (high to low):
1. Lanserhof at The Arts Club (London, UK) — 70.0
2. AEON Clinic at Atlantis The Royal (Dubai, UAE) — 65.0
3. Chenot Espace — 60.0
4. BodySpace at Mandarin Oriental Hyde Park — 40.0
5. Longevity Health &amp; Wellness Club at Kempinski The Boulevard (Dubai, UAE) — 40.0
6. Next Health at Four Seasons Resort Maui (Wailea, HI, USA) — 34.0
7. Longevity Hub by Clinique La Prairie — 26.0
8. Pillar Wellbeing at Raffles London at The OWO — 18.0</t>
      </text>
    </comment>
    <comment authorId="0" ref="O40">
      <text>
        <t xml:space="preserve">Min: 26.0 — Longevity Hub by Clinique La Prairie
Max: 65.0 — AEON Clinic at Atlantis The Royal (Dubai, UAE)
Ordered (high to low):
1. AEON Clinic at Atlantis The Royal (Dubai, UAE) — 65.0
2. DNA Health &amp; Wellness at DIFC Gate Avenue (Dubai, UAE) — 63.0
3. Next Health Dubai (Business Bay, Dubai, UAE) — 50.0
4. Longevity Health &amp; Wellness Club at Kempinski The Boulevard (Dubai, UAE) — 40.0
5. Sohum Wellness Sanctuary (Dubai, UAE) — 35.0
6. Longevity Hub by Clinique La Prairie — 26.0</t>
      </text>
    </comment>
    <comment authorId="0" ref="F41">
      <text>
        <t xml:space="preserve">Min: $25.0 — Lanserhof at The Arts Club (London, UK)
Max: $46,300.0 — AEON Clinic at Atlantis The Royal (Dubai, UAE)
Ordered (high to low, by midpoint):
1. AEON Clinic at Atlantis The Royal (Dubai, UAE) — $286.0 to $46,300.0
2. Next Health, West Hollywood (Los Angeles, CA, USA) — $49.0 to $14,500.0
3. Next Health at Four Seasons Resort Maui (Wailea, HI, USA) — $59.0 to $10,000.0
4. SHA Wellness Clinic, Spain — $43.0 to $9,600.0
5. DNA Health &amp; Wellness at DIFC Gate Avenue (Dubai, UAE) — $41.0 to $9,537.0
6. Lanserhof at The Arts Club (London, UK) — $25.0 to $3,717.0
7. Longevity Health &amp; Wellness Club at Kempinski The Boulevard (Dubai, UAE) — $25.0 to $2,724.0
8. Lanserhof Lans (Austria) — $70.0 to $2,171.0
9. Longevity Hub by Clinique La Prairie — $300.0 to $870.0
10. BodySpace at Mandarin Oriental Hyde Park — $107.0 to $876.0
11. Lefay Resort &amp; SPA Dolomiti — $60.0 to $665.0
12. Sohum Wellness Sanctuary (Dubai, UAE) — $82.0 to $327.0
13. Chenot Espace — $33.0 to $352.0</t>
      </text>
    </comment>
    <comment authorId="0" ref="I41">
      <text>
        <t xml:space="preserve">Min: $43.0 — SHA Wellness Clinic, Spain
Max: $9,600.0 — SHA Wellness Clinic, Spain
Ordered (high to low, by midpoint):
1. SHA Wellness Clinic, Spain — $43.0 to $9,600.0
2. Lanserhof Lans (Austria) — $70.0 to $2,171.0
3. Lefay Resort &amp; SPA Dolomiti — $60.0 to $665.0</t>
      </text>
    </comment>
    <comment authorId="0" ref="L41">
      <text>
        <t xml:space="preserve">Min: $25.0 — Lanserhof at The Arts Club (London, UK)
Max: $46,300.0 — AEON Clinic at Atlantis The Royal (Dubai, UAE)
Ordered (high to low, by midpoint):
1. AEON Clinic at Atlantis The Royal (Dubai, UAE) — $286.0 to $46,300.0
2. Next Health at Four Seasons Resort Maui (Wailea, HI, USA) — $59.0 to $10,000.0
3. Lanserhof at The Arts Club (London, UK) — $25.0 to $3,717.0
4. Longevity Health &amp; Wellness Club at Kempinski The Boulevard (Dubai, UAE) — $25.0 to $2,724.0
5. Longevity Hub by Clinique La Prairie — $300.0 to $870.0
6. BodySpace at Mandarin Oriental Hyde Park — $107.0 to $876.0
7. Chenot Espace — $33.0 to $352.0</t>
      </text>
    </comment>
    <comment authorId="0" ref="O41">
      <text>
        <t xml:space="preserve">Min: $25.0 — Longevity Health &amp; Wellness Club at Kempinski The Boulevard (Dubai, UAE)
Max: $46,300.0 — AEON Clinic at Atlantis The Royal (Dubai, UAE)
Ordered (high to low, by midpoint):
1. AEON Clinic at Atlantis The Royal (Dubai, UAE) — $286.0 to $46,300.0
2. DNA Health &amp; Wellness at DIFC Gate Avenue (Dubai, UAE) — $41.0 to $9,537.0
3. Longevity Health &amp; Wellness Club at Kempinski The Boulevard (Dubai, UAE) — $25.0 to $2,724.0
4. Longevity Hub by Clinique La Prairie — $300.0 to $870.0
5. Sohum Wellness Sanctuary (Dubai, UAE) — $82.0 to $327.0</t>
      </text>
    </comment>
    <comment authorId="0" ref="D46">
      <text>
        <t xml:space="preserve">With memberships:
Longevity Hub by Clinique La Prairie (2 tiers)
Chenot Espace (2 tiers)
SHA Emirates, Al Jurf (UAE) (1 tiers)
Lanserhof at The Arts Club (London, UK) (6 tiers)
BodySpace at Mandarin Oriental Hyde Park (1 tiers)
Pillar Wellbeing at Raffles London at The OWO (3 tiers)
Next Health, West Hollywood (Los Angeles, CA, USA) (6 tiers)
Next Health Dubai (Business Bay, Dubai, UAE) (5 tiers)
Next Health at Four Seasons Resort Maui (Wailea, HI, USA) (6 tiers)
Longevity Health &amp; Wellness Club at Kempinski The Boulevard (Dubai, UAE) (1 tiers)
Sohum Wellness Sanctuary (Dubai, UAE) (1 tiers)
Without memberships:
Clinique La Prairie, Montreux
Tulah Clinical Wellness
Tulah at One&amp;Only Royal Mirage
Chenot Palace Weggis
SHA Wellness Clinic, Spain
Lanserhof Lans (Austria)
Lefay Resort &amp; SPA Dolomiti
AEON Clinic at Atlantis The Royal (Dubai, UAE)
DNA Health &amp; Wellness at DIFC Gate Avenue (Dubai, UAE)</t>
      </text>
    </comment>
    <comment authorId="0" ref="G46">
      <text>
        <t xml:space="preserve">With memberships:
SHA Emirates, Al Jurf (UAE) — 1 tier(s)
Without memberships:
Clinique La Prairie, Montreux
Tulah Clinical Wellness
Chenot Palace Weggis
SHA Wellness Clinic, Spain
Lanserhof Lans (Austria)
Lefay Resort &amp; SPA Dolomiti
</t>
      </text>
    </comment>
    <comment authorId="0" ref="J46">
      <text>
        <t xml:space="preserve">With memberships:
Longevity Hub by Clinique La Prairie — 2 tier(s)
Chenot Espace — 2 tier(s)
Lanserhof at The Arts Club (London, UK) — 6 tier(s)
BodySpace at Mandarin Oriental Hyde Park — 1 tier(s)
Pillar Wellbeing at Raffles London at The OWO — 3 tier(s)
Next Health at Four Seasons Resort Maui (Wailea, HI, USA) — 6 tier(s)
Longevity Health &amp; Wellness Club at Kempinski The Boulevard (Dubai, UAE) — 1 tier(s)
Without memberships:
Tulah at One&amp;Only Royal Mirage
AEON Clinic at Atlantis The Royal (Dubai, UAE)
</t>
      </text>
    </comment>
    <comment authorId="0" ref="M46">
      <text>
        <t xml:space="preserve">With memberships:
Longevity Hub by Clinique La Prairie — 2 tier(s)
Next Health Dubai (Business Bay, Dubai, UAE) — 5 tier(s)
Longevity Health &amp; Wellness Club at Kempinski The Boulevard (Dubai, UAE) — 1 tier(s)
Sohum Wellness Sanctuary (Dubai, UAE) — 1 tier(s)
Without memberships:
Tulah at One&amp;Only Royal Mirage
AEON Clinic at Atlantis The Royal (Dubai, UAE)
DNA Health &amp; Wellness at DIFC Gate Avenue (Dubai, UAE)
</t>
      </text>
    </comment>
    <comment authorId="0" ref="F47">
      <text>
        <t xml:space="preserve">Min: 0.0 — Clinique La Prairie, Montreux
Max: 6.0 — Lanserhof at The Arts Club (London, UK)
Ordered (high to low):
1. Lanserhof at The Arts Club (London, UK) — 6.0
2. Next Health, West Hollywood (Los Angeles, CA, USA) — 6.0
3. Next Health at Four Seasons Resort Maui (Wailea, HI, USA) — 6.0
4. Next Health Dubai (Business Bay, Dubai, UAE) — 5.0
5. Pillar Wellbeing at Raffles London at The OWO — 3.0
6. Longevity Hub by Clinique La Prairie — 2.0
7. Chenot Espace — 2.0
8. SHA Emirates, Al Jurf (UAE) — 1.0
9. BodySpace at Mandarin Oriental Hyde Park — 1.0
10. Longevity Health &amp; Wellness Club at Kempinski The Boulevard (Dubai, UAE) — 1.0
11. Sohum Wellness Sanctuary (Dubai, UAE) — 1.0
12. Clinique La Prairie, Montreux — 0.0
13. Chenot Palace Weggis — 0.0
14. SHA Wellness Clinic, Spain — 0.0
15. Lanserhof Lans (Austria) — 0.0
16. Lefay Resort &amp; SPA Dolomiti — 0.0
17. AEON Clinic at Atlantis The Royal (Dubai, UAE) — 0.0
18. DNA Health &amp; Wellness at DIFC Gate Avenue (Dubai, UAE) — 0.0</t>
      </text>
    </comment>
    <comment authorId="0" ref="I47">
      <text>
        <t xml:space="preserve">Min: 0.0 — Clinique La Prairie, Montreux
Max: 1.0 — SHA Emirates, Al Jurf (UAE)
Ordered (high to low):
1. SHA Emirates, Al Jurf (UAE) — 1.0
2. Clinique La Prairie, Montreux — 0.0
3. Chenot Palace Weggis — 0.0
4. SHA Wellness Clinic, Spain — 0.0
5. Lanserhof Lans (Austria) — 0.0
6. Lefay Resort &amp; SPA Dolomiti — 0.0</t>
      </text>
    </comment>
    <comment authorId="0" ref="L47">
      <text>
        <t xml:space="preserve">Min: 0.0 — AEON Clinic at Atlantis The Royal (Dubai, UAE)
Max: 6.0 — Lanserhof at The Arts Club (London, UK)
Ordered (high to low):
1. Lanserhof at The Arts Club (London, UK) — 6.0
2. Next Health at Four Seasons Resort Maui (Wailea, HI, USA) — 6.0
3. Pillar Wellbeing at Raffles London at The OWO — 3.0
4. Longevity Hub by Clinique La Prairie — 2.0
5. Chenot Espace — 2.0
6. BodySpace at Mandarin Oriental Hyde Park — 1.0
7. Longevity Health &amp; Wellness Club at Kempinski The Boulevard (Dubai, UAE) — 1.0
8. AEON Clinic at Atlantis The Royal (Dubai, UAE) — 0.0</t>
      </text>
    </comment>
    <comment authorId="0" ref="O47">
      <text>
        <t xml:space="preserve">Min: 0.0 — AEON Clinic at Atlantis The Royal (Dubai, UAE)
Max: 5.0 — Next Health Dubai (Business Bay, Dubai, UAE)
Ordered (high to low):
1. Next Health Dubai (Business Bay, Dubai, UAE) — 5.0
2. Longevity Hub by Clinique La Prairie — 2.0
3. Longevity Health &amp; Wellness Club at Kempinski The Boulevard (Dubai, UAE) — 1.0
4. Sohum Wellness Sanctuary (Dubai, UAE) — 1.0
5. AEON Clinic at Atlantis The Royal (Dubai, UAE) — 0.0
6. DNA Health &amp; Wellness at DIFC Gate Avenue (Dubai, UAE) — 0.0</t>
      </text>
    </comment>
    <comment authorId="0" ref="F48">
      <text>
        <t xml:space="preserve">Min: $99.0 — Next Health, West Hollywood (Los Angeles, CA, USA)
Max: $8,333.0 — Next Health, West Hollywood (Los Angeles, CA, USA)
Ordered (high to low, by midpoint):
1. Next Health, West Hollywood (Los Angeles, CA, USA) — $99.0 to $8,333.0
2. Next Health at Four Seasons Resort Maui (Wailea, HI, USA) — $99.0 to $8,333.0
3. Pillar Wellbeing at Raffles London at The OWO — $669.0 to $2,678.0
4. Longevity Hub by Clinique La Prairie — $794.0 to $2,247.0
5. Chenot Espace — $400.0 to $2,600.0
6. Next Health Dubai (Business Bay, Dubai, UAE) — $545.0 to $1,361.0
7. Lanserhof at The Arts Club (London, UK) — $453.6 to $690.0
8. BodySpace at Mandarin Oriental Hyde Park — $414.8 to $414.8</t>
      </text>
    </comment>
    <comment authorId="0" ref="I48">
      <text>
        <t xml:space="preserve">No numeric examples in this grouping.</t>
      </text>
    </comment>
    <comment authorId="0" ref="L48">
      <text>
        <t xml:space="preserve">Min: $99.0 — Next Health at Four Seasons Resort Maui (Wailea, HI, USA)
Max: $8,333.0 — Next Health at Four Seasons Resort Maui (Wailea, HI, USA)
Ordered (high to low, by midpoint):
1. Next Health at Four Seasons Resort Maui (Wailea, HI, USA) — $99.0 to $8,333.0
2. Pillar Wellbeing at Raffles London at The OWO — $669.0 to $2,678.0
3. Longevity Hub by Clinique La Prairie — $794.0 to $2,247.0
4. Chenot Espace — $400.0 to $2,600.0
5. Lanserhof at The Arts Club (London, UK) — $453.6 to $690.0
6. BodySpace at Mandarin Oriental Hyde Park — $414.8 to $414.8</t>
      </text>
    </comment>
    <comment authorId="0" ref="O48">
      <text>
        <t xml:space="preserve">Min: $545.0 — Next Health Dubai (Business Bay, Dubai, UAE)
Max: $2,247.0 — Longevity Hub by Clinique La Prairie
Ordered (high to low, by midpoint):
1. Longevity Hub by Clinique La Prairie — $794.0 to $2,247.0
2. Next Health Dubai (Business Bay, Dubai, UAE) — $545.0 to $1,361.0</t>
      </text>
    </comment>
    <comment authorId="0" ref="F49">
      <text>
        <t xml:space="preserve">Min: $1,188.0 — Next Health, West Hollywood (Los Angeles, CA, USA)
Max: $99,996.0 — Next Health, West Hollywood (Los Angeles, CA, USA)
Ordered (high to low, by midpoint):
1. Next Health, West Hollywood (Los Angeles, CA, USA) — $1,188.0 to $99,996.0
2. Next Health at Four Seasons Resort Maui (Wailea, HI, USA) — $1,188.0 to $99,996.0
3. Pillar Wellbeing at Raffles London at The OWO — $8,028.0 to $32,136.0
4. Longevity Hub by Clinique La Prairie — $9,528.0 to $26,964.0
5. Chenot Espace — $4,800.0 to $31,200.0
6. Next Health Dubai (Business Bay, Dubai, UAE) — $6,540.0 to $16,332.0
7. Lanserhof at The Arts Club (London, UK) — $5,442.8 to $8,280.0
8. BodySpace at Mandarin Oriental Hyde Park — $4,977.0 to $4,977.0</t>
      </text>
    </comment>
    <comment authorId="0" ref="I49">
      <text>
        <t xml:space="preserve">No numeric examples in this grouping.</t>
      </text>
    </comment>
    <comment authorId="0" ref="L49">
      <text>
        <t xml:space="preserve">Min: $1,188.0 — Next Health at Four Seasons Resort Maui (Wailea, HI, USA)
Max: $99,996.0 — Next Health at Four Seasons Resort Maui (Wailea, HI, USA)
Ordered (high to low, by midpoint):
1. Next Health at Four Seasons Resort Maui (Wailea, HI, USA) — $1,188.0 to $99,996.0
2. Pillar Wellbeing at Raffles London at The OWO — $8,028.0 to $32,136.0
3. Longevity Hub by Clinique La Prairie — $9,528.0 to $26,964.0
4. Chenot Espace — $4,800.0 to $31,200.0
5. Lanserhof at The Arts Club (London, UK) — $5,442.8 to $8,280.0
6. BodySpace at Mandarin Oriental Hyde Park — $4,977.0 to $4,977.0</t>
      </text>
    </comment>
    <comment authorId="0" ref="O49">
      <text>
        <t xml:space="preserve">Min: $6,540.0 — Next Health Dubai (Business Bay, Dubai, UAE)
Max: $26,964.0 — Longevity Hub by Clinique La Prairie
Ordered (high to low, by midpoint):
1. Longevity Hub by Clinique La Prairie — $9,528.0 to $26,964.0
2. Next Health Dubai (Business Bay, Dubai, UAE) — $6,540.0 to $16,332.0</t>
      </text>
    </comment>
    <comment authorId="0" ref="F50">
      <text>
        <t xml:space="preserve">Min: $945.0 — BodySpace at Mandarin Oriental Hyde Park
Max: $2,600.0 — Pillar Wellbeing at Raffles London at The OWO
Ordered (high to low):
1. Pillar Wellbeing at Raffles London at The OWO — $2,600.0
2. Lanserhof at The Arts Club (London, UK) — $2,016.0
3. BodySpace at Mandarin Oriental Hyde Park — $945.0</t>
      </text>
    </comment>
    <comment authorId="0" ref="I50">
      <text>
        <t xml:space="preserve">No numeric examples in this grouping.</t>
      </text>
    </comment>
    <comment authorId="0" ref="L50">
      <text>
        <t xml:space="preserve">Min: $945.0 — BodySpace at Mandarin Oriental Hyde Park
Max: $2,600.0 — Pillar Wellbeing at Raffles London at The OWO
Ordered (high to low):
1. Pillar Wellbeing at Raffles London at The OWO — $2,600.0
2. Lanserhof at The Arts Club (London, UK) — $2,016.0
3. BodySpace at Mandarin Oriental Hyde Park — $945.0</t>
      </text>
    </comment>
    <comment authorId="0" ref="O50">
      <text>
        <t xml:space="preserve">No numeric examples in this grouping.</t>
      </text>
    </comment>
  </commentList>
</comments>
</file>

<file path=xl/sharedStrings.xml><?xml version="1.0" encoding="utf-8"?>
<sst xmlns="http://schemas.openxmlformats.org/spreadsheetml/2006/main" count="1229" uniqueCount="799">
  <si>
    <r>
      <rPr>
        <rFont val="Arial"/>
        <b/>
        <color rgb="FFFFFFFF"/>
        <sz val="10.0"/>
      </rPr>
      <t>AI Interface:</t>
    </r>
    <r>
      <rPr>
        <rFont val="Arial"/>
        <color rgb="FFFFFFFF"/>
        <sz val="10.0"/>
      </rPr>
      <t xml:space="preserve"> </t>
    </r>
    <r>
      <rPr>
        <rFont val="Arial"/>
        <color rgb="FFFFFFFF"/>
        <sz val="10.0"/>
        <u/>
      </rPr>
      <t>https://tulah-matrix.vercel.app</t>
    </r>
    <r>
      <rPr>
        <rFont val="Arial"/>
        <color rgb="FFFFFFFF"/>
        <sz val="10.0"/>
      </rPr>
      <t xml:space="preserve"> </t>
    </r>
  </si>
  <si>
    <t>1.  Identity &amp; Structure</t>
  </si>
  <si>
    <t>2.  Demand &amp; Clinical Positioning</t>
  </si>
  <si>
    <t>3.  Physical Metrics  ·  Core Benchmark Data</t>
  </si>
  <si>
    <t>4.  Operating Model Logic  ·  Capex &amp; Intensity</t>
  </si>
  <si>
    <t>5.  Offering Summary</t>
  </si>
  <si>
    <t>6.  Strategic Insight</t>
  </si>
  <si>
    <t>7.  Notes</t>
  </si>
  <si>
    <t>Brand / Expression</t>
  </si>
  <si>
    <t>Operator /
Hosted Within</t>
  </si>
  <si>
    <t>Level /
Category</t>
  </si>
  <si>
    <t>Status</t>
  </si>
  <si>
    <t>Location
City, Country</t>
  </si>
  <si>
    <t>Core
Positioning</t>
  </si>
  <si>
    <t>Target
Segments</t>
  </si>
  <si>
    <t>Price
Tier (1-5)</t>
  </si>
  <si>
    <t>Est</t>
  </si>
  <si>
    <t>Description</t>
  </si>
  <si>
    <t>Does the hotel have a separate spa? (0/1)</t>
  </si>
  <si>
    <t>Target Audiences</t>
  </si>
  <si>
    <t>Clinical
Grade (1–5)</t>
  </si>
  <si>
    <t>Residential (0/1)</t>
  </si>
  <si>
    <t>Hotel
Guest (0/1)</t>
  </si>
  <si>
    <t>Member-
ship (0/1)</t>
  </si>
  <si>
    <t>À la
carte (0/1)</t>
  </si>
  <si>
    <t>Walk-Ins? (0/1)</t>
  </si>
  <si>
    <t>Total Site
Area (sq ft)</t>
  </si>
  <si>
    <t>Total GFA
(sq ft)</t>
  </si>
  <si>
    <t>Stated Wellness/Clinical
Area (sq ft)</t>
  </si>
  <si>
    <t>Clinical &amp; Treatment Rooms</t>
  </si>
  <si>
    <t>Clinical &amp; Treatment Rooms Detail</t>
  </si>
  <si>
    <t>No. of Specialist Facilities</t>
  </si>
  <si>
    <t>Specialist Facilities/Equipment</t>
  </si>
  <si>
    <t>External Medical Partnership?</t>
  </si>
  <si>
    <t>Rooms</t>
  </si>
  <si>
    <t>Host Hotel Rooms</t>
  </si>
  <si>
    <t>Branded Residences</t>
  </si>
  <si>
    <t>Total Feeder Units</t>
  </si>
  <si>
    <t>External Feeder Units</t>
  </si>
  <si>
    <t xml:space="preserve">Wellness Area
per Key </t>
  </si>
  <si>
    <t>Revenue Drivers</t>
  </si>
  <si>
    <t>Integrated F&amp;B Concept? (0/1)</t>
  </si>
  <si>
    <t>F&amp;B Included in Programme? (0/1)</t>
  </si>
  <si>
    <t>Dedicated Restaurant(s) or Integrated?</t>
  </si>
  <si>
    <t>F&amp;B Detail</t>
  </si>
  <si>
    <t>Medical
Licensing Model</t>
  </si>
  <si>
    <t>On-Site Doctors</t>
  </si>
  <si>
    <t>Total Specialist Count</t>
  </si>
  <si>
    <t>Specialist Staff Details</t>
  </si>
  <si>
    <t>External Doctors</t>
  </si>
  <si>
    <t>Specialists / 10,000 sq ft</t>
  </si>
  <si>
    <t>Build
Typology</t>
  </si>
  <si>
    <t>Indicative
Capex Intensity</t>
  </si>
  <si>
    <t>Perceieved Capital
Intensity Level (1-3)</t>
  </si>
  <si>
    <t>Offering Type
Primary</t>
  </si>
  <si>
    <t>Offering Type
Secondary</t>
  </si>
  <si>
    <t>No. of
Programmes</t>
  </si>
  <si>
    <t>Programme
Detail</t>
  </si>
  <si>
    <t>Minimum Programme
Duration (Days)</t>
  </si>
  <si>
    <t>Maximum Programme
Duration (Days)</t>
  </si>
  <si>
    <t>Minimum Programme Price ($)</t>
  </si>
  <si>
    <t>Maximum Programme Price ($)</t>
  </si>
  <si>
    <t>No. of À la Carte Treatments</t>
  </si>
  <si>
    <t>Minimum Treatment Price ($)</t>
  </si>
  <si>
    <t>Maximum Treatment Price ($)</t>
  </si>
  <si>
    <t>Treatment Details</t>
  </si>
  <si>
    <t>No. of
Membership Tiers</t>
  </si>
  <si>
    <t>Loyalty Scheme? (0/1)</t>
  </si>
  <si>
    <t>Membership
Detail</t>
  </si>
  <si>
    <t>Joining Fee</t>
  </si>
  <si>
    <t>Minimum Membership Price ($ per month)</t>
  </si>
  <si>
    <t>Maximum Membership Price ($ per month)</t>
  </si>
  <si>
    <t>Product/Retail? (0/1)</t>
  </si>
  <si>
    <t>Product/Retail Detail</t>
  </si>
  <si>
    <t>Room Rate Integration? (0/1)</t>
  </si>
  <si>
    <t>Room-Rate Integration Detail</t>
  </si>
  <si>
    <t>Other
Fees</t>
  </si>
  <si>
    <t>What does this brand prove about scale?</t>
  </si>
  <si>
    <t>What does it prove about room-to-wellness ratios?</t>
  </si>
  <si>
    <t>What does it prove about diversification logic?</t>
  </si>
  <si>
    <t>Notes /
Observations</t>
  </si>
  <si>
    <t>Mothership-led</t>
  </si>
  <si>
    <t>Clinique La Prairie, Montreux</t>
  </si>
  <si>
    <t>—</t>
  </si>
  <si>
    <t>A — Mothership</t>
  </si>
  <si>
    <t>Established</t>
  </si>
  <si>
    <t>Clarens (Montreux), Switzerland</t>
  </si>
  <si>
    <t>Medical Longevity</t>
  </si>
  <si>
    <t>UHNW, Medical Tourism, HNW</t>
  </si>
  <si>
    <t>Founded in 1931, Clinique La Prairie is a standalone luxury medical wellness campus in Montreux combining a 5-star hotel (38 keys), a full medical centre with 50+ specialist physicians and 3 operating theatres, a 1,600 m² longevity spa, and an on-site medical imaging centre and laboratory — delivering week-long preventive-medicine and longevity programmes.</t>
  </si>
  <si>
    <t>Medical Recovery, High Performance, Individual Wellness</t>
  </si>
  <si>
    <t>Not disclosed</t>
  </si>
  <si>
    <t>Surgical — 3 (3 operating theatres)
Post-operative / Recovery — 26 (20 standard recovery rooms, 2 junior suites, 4 medical suites)
Spa &amp; Aesthetic Treatment — 29 (18 spa treatment cabins, 11 aesthetic treatment rooms)
Medical Imaging — 7 (1 MRI, 1 CT, 1 mammography, 1 ultrasound, 1 digital radiology, 1 DXA, 1 orthopantomogram)
Main Sources Used:
Clinique La Prairie (official website) – Spa &amp; Wellness (18 treatment cabins)
https://www.cliniquelaprairie.com/destinations/switzerland/spa-wellness/
Clinique La Prairie Médical (official medical site) – Surgery, recovery, imaging facilities
https://www.cliniquelaprairiemedical.com/en/
Medical Imaging Center – CLP Médical (MRI, CT, DXA, radiology suites)
https://www.cliniquelaprairiemedical.com/en/services/medical-imaging-center/
The Luxury Spa Edit (on-site review) – Aesthetic room breakdown (11 aesthetic rooms)
https://www.theluxuryspaedit.com/article/review-we-check-in-to-clinique-la-prairie/
Berkeley Travel (Rooms &amp; Suites PDF) – Post-operative suite breakdown
https://www.berkeleytravel.co.uk/wp-content/uploads/clinique_la_prairie_rooms_and_suites.pdf</t>
  </si>
  <si>
    <t>Diagnostics &amp; Imaging (17)
3 Tesla MRI; 64-slice CT scanner; low-dose digital mammography with 3D tomosynthesis; digital radiology suite; multi-purpose ultrasound/Doppler system; DXA scanner; 12-lead ECG; cardiac stress test (ergometry); echocardiography; 24-hour Holter ECG; ambulatory BP monitor; spirometry; ambulatory polysomnographic EEG; ENT video endoscopy system; rhinomanometry system; digital orthopantomogram (OPG); PACS/RIS digital archiving system.
Labs &amp; Advanced Testing — Physical Infrastructure (5)
On-site medical analysis laboratory; indirect calorimetry system; Tanita® bioimpedance body composition analyser; high-precision skin analysis device; continuous glucose monitoring (CGM) platform.
Regenerative / Cell Therapy Infrastructure (3)
Three fully equipped operating theatres; 20 post-surgical recovery rooms plus 6 suites; on-site stem cell extraction and banking infrastructure (with external GMP processing partner).
IV / Infusion Infrastructure (1)
Dedicated IV infusion stations integrated into medical and longevity programmes.
Longevity Tech / Biohacking (5)
Whole-body cryotherapy chamber; far infrared therapy unit; AudioVitality® vibroacoustic studio; Neuro Wave stimulation system; Zerobody™ dry float therapy bed.
Medical Aesthetics — Capital Device Platforms (7)
Thermage® RF system; CO₂ laser; Pearl fractional laser; pigment/vascular laser; Hollywood laser platform; laser hair removal system; Slimlipo laser-assisted liposuction device.
Specialist Movement / Performance Testing (2)
LPG HUBER EVOLUTION 360° multi-axis platform; Senaptec sensory performance testing system.</t>
  </si>
  <si>
    <t>Research-driven, no delivery partners: Clinique La Prairie is largely self-contained clinically but collaborates with nearby Swiss research institutions for scientific development and programme validation.
Key partners include Lausanne University Hospital, Biopôle SA, University of Lausanne, École Polytechnique Fédérale de Lausanne, and University of Basel.
Summary: CLP operates a hybrid model — clinically self-sufficient for treatment delivery but integrated with Swiss academic institutions for research and scientific validation.</t>
  </si>
  <si>
    <t>Programme-led</t>
  </si>
  <si>
    <t>Dedicated Restaurant(s)</t>
  </si>
  <si>
    <t>Centred on SEEDS, a medically integrated, plant-forward anti-inflammatory restaurant with programme-specific set menus (Longevity, Master Detox, Healthy Weight) assigned per guest rather than à la carte, complemented by a Lobby Bar and Café Spa offering herbal infusions, light snacks and hydration stations — all tightly embedded within the clinical longevity methodology.</t>
  </si>
  <si>
    <t>Own licence</t>
  </si>
  <si>
    <t>"A Medical Center with over 55 doctors and 25 specialties"
https://www.cliniquelaprairiemedical.com/en/medical-check-up/
Other source says 350 total but this includes everyone beyond the core wellness/clinical team, so wouldn't be comparable to embedded concepts if we're talking just about the wellness/longevity facility</t>
  </si>
  <si>
    <t>Purpose-built clinic</t>
  </si>
  <si>
    <t>Purpose-built medical longevity campus with hospital-grade imaging (MRI, CT, DXA), on-site laboratories, surgical theatres and high-acuity regenerative infrastructure — representing a materially higher capex intensity than hotel-embedded wellness models due to full diagnostic and interventional capability.</t>
  </si>
  <si>
    <t>Programme</t>
  </si>
  <si>
    <t>Treatment</t>
  </si>
  <si>
    <t>1. Revitalisation — 7 days / 6 nights — from ~$37.7k
2. Master Detox — 7 days / 6 nights — from ~$24.5k
3. Detox Reset — 5 days / 4 nights — from ~$14.5k
4. Healthy Weight — 7 or 14 days / 6–13 nights — from ~$25.2k (14-day from ~$47.7k)
5. Brain Health — 7 days / 6 nights — from ~$34.8k
6. Advanced Aesthetic Beauty — 5 days / 4 nights — from ~$24.2k
7. Beauty Stem Cells — 4 days / 3 nights — from ~$62.5k
8. Health Diagnostic — 3 days / 2 nights — from ~$25.4k</t>
  </si>
  <si>
    <t>70+ à la carte services (marketed as one of five programme categories), spanning 50+ spa therapies and 22 medical departments; pricing largely undisclosed, with confirmed consultations from ~CHF 350 (≈ $390) and programme pricing from CHF 5,900–50,250 (≈ $6,500–55,500).</t>
  </si>
  <si>
    <t>Only have membership at their Longevity Hubs, their clinics are purely programme-led.</t>
  </si>
  <si>
    <t>Product offering centres on its proprietary Holistic Health longevity supplements range (including Age-Defy, Balance, Purity, Energy and Epinome™), sold on-site and via global premium retail partners, alongside an on-campus La Prairie luxury skincare boutique retailing the full skincare collection, and an annual Longevity Membership that combines recurring supplement supply with an exclusive in-clinic programme.</t>
  </si>
  <si>
    <t>1. Stem Cells add-on (from ~CHF 5,900 / ~$6–7k) – programme supplement; room not included.
2. Municipal visitor tax (CHF 7 pppn) – external to programme pricing.
3. Room category upgrades – supplement over base programme rate.
4. À la carte medical / specialist services – pricing on request.</t>
  </si>
  <si>
    <t>A small-key flagship can still lead globally if the clinical platform is deep and premium.</t>
  </si>
  <si>
    <t>Very high clinical density; rooms support the programme rather than drive the business.</t>
  </si>
  <si>
    <t>Uses the flagship to build authority, then monetises brand trust through lighter hubs.</t>
  </si>
  <si>
    <t>Flagship benchmark: small key count, very high clinical density, and enough authority to support lighter downstream hubs.</t>
  </si>
  <si>
    <t>Longevity Hub by Clinique La Prairie</t>
  </si>
  <si>
    <t>One&amp;Only One Za'abeel</t>
  </si>
  <si>
    <t>C — Embedded / Partner</t>
  </si>
  <si>
    <t>Dubai, UAE</t>
  </si>
  <si>
    <t>UHNW, HNW, High Performance / Biohacker, Affluent Wellness</t>
  </si>
  <si>
    <t>Three-floor embedded longevity/wellness facility operated by Clinique La Prairie inside One&amp;Only One Za’abeel, offering science-backed longevity assessments (proprietary Longevity Index), wellness/wellbeing therapies, aesthetic procedures, and technology-driven treatments across 29 treatment rooms; the fifth CLP Longevity Hub globally.</t>
  </si>
  <si>
    <t>Family / Multi-Gen, Opportunistic Hotel Guest, Corporate, High Performance, Medical Recovery, Individual Wellness</t>
  </si>
  <si>
    <t>Longevity / High-Tech &amp; Diagnostic — 6
(1 cryotherapy chamber; 1 far infrared therapy room; 1 neuro-wave stimulation room; 1 IV infusion room; 1 Longevity Index diagnostic suite; 1 Senaptec sensory assessment room)
Aesthetic / Clinical Procedure Rooms — 6
(2 injectable/consultation rooms; 2 laser treatment rooms; 2 device-based aesthetic rooms for RF microneedling, ultrasound, Indiba, body contouring)
Wellbeing / Spa Treatment Rooms — 17
(8 massage rooms; 4 facial treatment rooms; 3 body treatment rooms including hydro-jet; 1 Turkish bath/hammam treatment room; 1 hydrotherapy treatment room)</t>
  </si>
  <si>
    <t>Diagnostics &amp; Imaging (5)
Longevity Index AI-driven diagnostic suite; VISIA skin analysis system; bioelectrical impedance body composition analyser; non-invasive vitamin &amp; heavy metal spectrophotometric scanner; continuous glucose monitoring (CGM) platform.
Labs &amp; Advanced Testing — Physical Infrastructure (1)
On-site PRP centrifuge (blood draw and platelet-rich plasma preparation confirmed; broader laboratory processing not publicly specified).
Regenerative / Cell Therapy Infrastructure (2)
Stem cell extraction suite (adipose harvesting under local anaesthesia); stem cell cryopreservation unit (short-term storage confirmed).
IV / Infusion Infrastructure (1)
Dedicated IV drip suite with medical-grade infusion stations integrated into longevity programmes.
Longevity Tech / Biohacking (6)
Whole-body cryotherapy chamber; far infrared cabin; Neuro Wave acoustic stimulation system; ice pod (cold immersion); pneumatic compression boots; Hypervolt percussive recovery device.
Medical Aesthetics — Capital Device Platforms (4)
Ultherapy® (HIFU); Morpheus8® (RF microneedling); CoolTech® cryolipolysis; laser photorejuvenation system.
Specialist Movement / Performance Testing (4)
Fit3D body scanner; VO₂ max cardiopulmonary testing system; Senaptec sensory assessment station; Senaptec cognitive training system.</t>
  </si>
  <si>
    <t>No</t>
  </si>
  <si>
    <t>Treatment-led, Membership-led</t>
  </si>
  <si>
    <t>Dedicated Restaurant(s), Integrated</t>
  </si>
  <si>
    <t>Limited in scope versus Montreux — centred on the on-site Longevity Bar (functional juices, smoothies and light wellness snacks), with no published menu or pricing; full anti-inflammatory dining is only included within the City Wellness Retreat (4-day programme), while annual members receive F&amp;B discounts rather than inclusive meals, and broader dining is delivered via One&amp;Only’s 11-restaurant hotel ecosystem rather than a dedicated clinical restaurant model.</t>
  </si>
  <si>
    <t>9 medical practitioners (including a dermatologist and GP as the doctors, plus a physiotherapist and longevity coach), 12 wellbeing practitioners, 5 movement specialists</t>
  </si>
  <si>
    <t>Hotel-embedded wing</t>
  </si>
  <si>
    <t>Hotel-embedded urban longevity clinic with advanced diagnostics, regenerative suites and device-led optimisation infrastructure, but no imaging, laboratory or surgical capability — representing moderate capex intensity focused on treatment rooms, specialist equipment and aesthetic/biotech fit-out rather than hospital-grade build.</t>
  </si>
  <si>
    <t>Membership</t>
  </si>
  <si>
    <t>1. City Wellness Retreat – 4 days / 3 nights — No price listed
Three 'signature experiences' (details derived by email):
1. Energize — 210 mins (3h 30m) — AED 3,200 (~$870)
45-min Longevity Index + 15-min cryotherapy + 60-min revitalization massage + 45-min Emsculpt (1 area) + 45-min energising IV drip.
→ Metabolic and performance optimisation.
2. Rebalance — 225 mins (3h 45m) — AED 3,200 (~$870)
45-min Longevity Index + 45-min far infrared + 60-min detox massage + 30-min X-Wave (1 area) + 45-min detox IV drip.
→ Detox and systemic reset.
3. Glow — 225 mins (3h 45m) — AED 3,200 (~$870)
45-min Longevity Index + 45-min Titanium Facial Lift + 90-min La Prairie Blue Lifting &amp; Firming Facial + 45-min Super Glow IV drip.
→ Beauty-led rejuvenation and collagen stimulation.
Each of which come with an included/complimentary Longevity Index (a health assessment used to create a bespoke wellness plan).</t>
  </si>
  <si>
    <t>Three 'signature experiences' (details derived by email):
1. Energize — 210 mins (3h 30m) — AED 3,200 (~$870)
45-min Longevity Index + 15-min cryotherapy + 60-min revitalization massage + 45-min Emsculpt (1 area) + 45-min energising IV drip.
→ Metabolic and performance optimisation.
2. Rebalance — 225 mins (3h 45m) — AED 3,200 (~$870)
45-min Longevity Index + 45-min far infrared + 60-min detox massage + 30-min X-Wave (1 area) + 45-min detox IV drip.
→ Detox and systemic reset.
3. Glow — 225 mins (3h 45m) — AED 3,200 (~$870)
45-min Longevity Index + 45-min Titanium Facial Lift + 90-min La Prairie Blue Lifting &amp; Firming Facial + 45-min Super Glow IV drip.
→ Beauty-led rejuvenation and collagen stimulation.
Each of which come with an included/complimentary Longevity Index (a health assessment used to create a bespoke wellness plan).
On pure a la carte treatments:
26 brochure-listed à la carte 'therapies' span 4 longevity technologies (e.g. cryotherapy, IV drips), 6 facial wellbeing therapies (e.g. Cellular Lifting, Hydrafacial®), 8 body treatments (e.g. detox massage, Maderotherapy), 4 injectable aesthetics (HA fillers, PRP, botulinum, mesotherapy), and 4 energy-based procedures (laser, Ultherapy®, Morpheus8®, CoolTech®).</t>
  </si>
  <si>
    <t>1. Privilege (12 months – ~$12.2k)
Maintenance tier with 2 annual assessments + quarterly nutrition oversight and monthly tech, massage, and movement sessions.
→ Structured, recurring longevity management model.
2. Premium (3 / 6 / 12 months – ~$9.5k / $16k / $26.9k)
High-frequency tier with the same diagnostic base but weekly tech, massage, and movement sessions (+ weekly cryo; supplements on 12-month).
→ Intensive optimisation and highest LTV tier.
Discovery (1 month trial)
Diagnostic-led, one-month trial built around the Longevity Index with a personalised 4-week targeted intervention (tech, movement, massage, medical consults + facility access).
→ Entry funnel; fee credited toward upgrade.
Membership brochure: https://longevity-hub-discovery-dubai.cliniquelaprairie.com/files/PDF_DiscoveryMembership_VF.pdf
With pricing: https://issuu.com/cliniquelaprairie/docs/brochure_membership_duba_-_2023?fr=sMjc3MzY4MDA4MDc</t>
  </si>
  <si>
    <t>Longevity Hub Dubai retails (1) La Prairie (not directly owned by CLP) skincare products (e.g. Skin Caviar, Platinum Rare, Life Matrix) via an on-site boutique integrated with facial treatments, (2) Clinique La Prairie Holistic Health supplements (Age-Defy “The Ultimate”, Balance, Purity, Energy, Epinome™; approx. USD 390–820) sold in-Hub and online and included in Premium membership, and (3) nutrition-led offerings via the Longevity Bar, supporting the broader wellness proposition.</t>
  </si>
  <si>
    <t>Integration occurs primarily at suite level (including a complementary Longevity Index assessment) and through curated hotel packages:
1. Za’abeel &amp; Grand Za’abeel Rooms: No Longevity treatments included (Movement Studio access only).
2. Za’abeel Suite, Urban Suite, Creative Suite, Skyline Signature Suite, Skyline Loft, Royal Suite: Include 1 complimentary Longevity Index Assessment.
3. Sanctuary Suite: Includes 1 Longevity Index Assessment + 2 complimentary 60-min wellbeing treatments, plus in-suite wellness design features.
4. Villa One: Includes 1 Longevity Index Assessment + 2 complimentary wellbeing treatments, plus enhanced in-villa wellness elements.
Separately, bookable offers such as the City Wellness Retreat (multi-day structured longevity protocol) and Stop &amp; Shop (single bundled technology treatment) integrate Longevity Hub services directly into the stay package.</t>
  </si>
  <si>
    <t>1. 10% service charge + 5% VAT (wellbeing); 5% VAT (aesthetics).
2. 3.95% Amex surcharge.
3. 50% deposit (external guests) + 24h 100% cancellation policy.
4. Consultation-gated pricing (medical &amp; longevity diagnostics).</t>
  </si>
  <si>
    <t>Shows CLP can extend from mothership to hotel-embedded hubs without recreating the full campus.</t>
  </si>
  <si>
    <t>Substantial for a hotel, but wellness remains nested inside a larger hospitality asset.</t>
  </si>
  <si>
    <t>Partnership + membership model adds recurring revenue while avoiding full destination-clinic capex.</t>
  </si>
  <si>
    <t>Hotel-embedded CLP extension with real wellness scale, but more treatment- and membership-led than the Montreux flagship.</t>
  </si>
  <si>
    <t>Chenot Palace Weggis</t>
  </si>
  <si>
    <t>Chenot Group</t>
  </si>
  <si>
    <t>Lucerne, Switzerland</t>
  </si>
  <si>
    <t>UHNW, HNW, Medical Tourism</t>
  </si>
  <si>
    <t>Chenot Palace Weggis is an ultra-luxury medical wellness retreat/resort on Lake Lucerne built around the science-driven Chenot Method, offering highly structured 7-night+ detox and longevity programmes within a refined hotel setting. Combining Western diagnostics with Traditional Chinese Medicine principles, controlled fasting-mimicking nutrition, hydrotherapy, hypoxia, cryotherapy and daily medical oversight, it delivers an intensive metabolic reset designed for affluent international guests seeking serious health optimisation rather than a light-touch spa escape.</t>
  </si>
  <si>
    <t>Individual Wellness, High Performance, Medical Recovery</t>
  </si>
  <si>
    <t>Medical &amp; Diagnostic
(Doctor consultation rooms; functional diagnostic rooms for metabolic testing, oxidative stress, arterial stiffness and bio-energetic assessment; lab sampling room; IV therapy rooms; ozone therapy rooms; colon hydrotherapy rooms; acupuncture rooms)
Hydrotherapy
(Hydro-aromatherapy bath rooms; hydro-jet treatment rooms; phyto-mud wrap rooms)
Energetic / Bodywork Treatment Rooms
(Chenot energetic massage rooms; connective tissue treatment rooms; lymphatic drainage rooms; reflexology rooms)
Aesthetic &amp; Medical Aesthetic Rooms
(Injectables consultation/treatment rooms; PRP treatment rooms; microneedling rooms; laser treatment rooms; HIFU rooms; HydraFacial rooms; mesotherapy rooms; chemical peel rooms)
Longevity / High-Tech &amp; Performance Rooms
(Cryotherapy chamber; intermittent hypoxia/hyperoxia training room; photobiomodulation room; neuro-acoustic deep relaxation room; HRV biofeedback room; vacuum therapy room)
Movement &amp; Rehabilitation Spaces
(Anti-gravity treadmill zone; Neurac/Redcord therapy stations; gym floor; yoga/Pilates studio)
Wet &amp; Thermal Areas
(21m indoor pool; sauna; steam bath; relaxation lounges)</t>
  </si>
  <si>
    <t>Diagnostics &amp; Imaging (11)
DXA bone densitometry scanner; digital infrared thermal imaging (DITI); arterial stiffness / pulse wave analysis device; AGEs measurement device; minerals &amp; heavy metals analyser; skin collagen ultrasound; body composition analyser; oxidative stress assessment device; bio-energetic resonance analysis system; 3D body scanner; facial diagnostic scanner.
Labs &amp; Advanced Testing — Physical Infrastructure (2)
On-site clinical laboratory (blood, urine, saliva biomarker processing); Chenot Molecular Lab for Optimal Living (mRNA-based epigenetic gene expression analysis).
Regenerative / Cell Therapy Infrastructure (3)
Chenot bio-energetic treatment unit; ozone autohaemotherapy equipment; PRP &amp; autologous exosome preparation system.
IV / Infusion Infrastructure (2)
Dedicated intravenous nutrient therapy setup; IV chelation therapy apparatus.
Longevity Tech / Biohacking (9)
Whole-body cryotherapy chamber (−110°C); altitude/hypoxia room (IHHT chamber); whole-body photobiomodulation system; neuro-acoustic deep relaxation platform; HRV biofeedback system; HiTone power treatment device; anti-gravity treadmill; intermittent vacuum therapy device; Body Slim VacuTherm system.
Medical Aesthetics — Capital Device Platforms (12)
Ultraformer III (HIFU); Ulfit; INDIBA Proionic System (448 kHz RF); Storz Cellactor SC1 (AWT); ZField Dual (inductive electromagnetic toning); Lymphastim pressotherapy; HydraFacial MD; OxyGeneo; Dermio Care Plus; LED phototherapy unit; SKINeo; Dermapen microneedling device.
Specialist Movement / Performance Testing (7)
Metabolic cart / VO₂ testing system; indirect calorimetry (resting metabolic rate); HRV stress test system; spirometry; postural &amp; movement assessment system; strength &amp; balance assessment system; Neurac suspension sling system.</t>
  </si>
  <si>
    <t>Programme-led, Room-led, Treatment-led</t>
  </si>
  <si>
    <t>Operates a fully integrated, medically prescribed F&amp;B model built around the mandatory Chenot Diet® — an ~850 kcal/day plant-based fasting-mimicking protocol embedded within every programme. All meals are served exclusively to in-house guests in a single lake-facing Dining Room, with a secondary tea lounge (La Tisanière) offering herbal infusions and broths; there is no bar, no public dining, and no standalone restaurant revenue. The cuisine is positioned as a clinical intervention rather than hospitality offering, designed to trigger autophagy, reduce inflammation and support metabolic reset in synergy with treatments, with nutritional consultations at arrival and departure and full programme bundling into the weekly price.</t>
  </si>
  <si>
    <t>Chenot Palace Weggis cites 100+ specialist staff, covering the full clinical and treatment ecosystem. This includes 6 confirmed on-site doctors, supported by nurses and lab technicians within the Medical Department, alongside approximately 50 spa/therapy practitioners delivering the Chenot Method, plus medical aesthetics and human performance specialists. The 100 figure reflects the total treatment and clinical workforce, not hotel operations staff.
https://www.chenot.com/chenot-palace/weggis/
https://www.aol.com/inside-switzerland-medical-palace-where-120000507.html</t>
  </si>
  <si>
    <t>Retrofitted resort</t>
  </si>
  <si>
    <t>High capex hybrid redevelopment: Conversion of a historic luxury resort into a medically licensed wellness clinic, including a newly built ~5,000 sqm medical spa annex with advanced diagnostics, clinical treatment infrastructure, cryotherapy, altitude training, IV therapy and specialist equipment. Significant structural renovation plus purpose-built clinical fit-out places it materially above a standard luxury resort spa, but below a ground-up hospital-scale medical facility in capital intensity.</t>
  </si>
  <si>
    <t>1. Advanced Detox — 7 days / 6 nights — from ~$9.4k total stay
(Programme ~$6.2k + entry room ~$3.2k)
2. Recover &amp; Energise — 7 days / 6 nights — from ~$10.4k total stay
(Programme ~$7.2k + entry room ~$3.2k)
3. Prevention &amp; Ageing Well — 7 days / 6 nights — from ~$11.2k total stay
(Programme ~$8.0k + entry room ~$3.2k)
4. Recover &amp; Energise with Sleep Cycles — 7 days / 6 nights — from ~$12.1k total stay
(Programme ~$8.9k + entry room ~$3.2k)
5. Body Insights &amp; Optimisation — 5 days / 4 nights — from ~$9.3k total stay
(Programme ~$6.8k + entry room ~$2.5k)
(Rooms and programmes charged separately unlike CLP Montreux)</t>
  </si>
  <si>
    <t>Not published</t>
  </si>
  <si>
    <t>Chenot Palace Weggis offers 67 listed à la carte treatments across six departments, with the largest weighting in medical aesthetics (17) and core medical diagnostics/treatments (16), reinforcing its positioning as a medically supervised detox and longevity clinic rather than a conventional spa. Human performance (12) and Chenot Method manual aesthetics (11) support the detox foundation, while hydrotherapy (3) functions as the programme spine. Notably, no individual treatment prices are published, with all services prescribed and costed during medical consultation — a deliberate clinic-led commercial model aligned to programme bundling rather than menu-based spa retailing.</t>
  </si>
  <si>
    <t>Chenot does not operate a paid membership structure, but it does run a three-tier, frequency-based loyalty scheme called the Chenot Loyalty Club (CLC). Status is awarded annually based on the number of stays in the previous calendar year (valid 1 January–31 December), applies only at Weggis, is strictly personal and non-transferable, and offers percentage discounts rather than points accumulation.
Three Tiers
1. Chenot Loyal (1 stay/year): 10% off programmes + 10% off Spa &amp; Medical treatments* + complimentary room upgrade subject to availability.
2. Chenot Silver (2 stays/year): 10% off programmes + 10% off Spa &amp; Medical treatments* + room upgrade subject to availability + CHF 300 Spa &amp; Medical credit per stay (spend threshold applies).
3. Chenot Gold (3+ stays/year): 10% off programmes + 10% off Spa &amp; Medical treatments* + guaranteed room upgrade from 3rd stay within validity year + CHF 500 Spa &amp; Medical credit per stay (spend threshold applies).
*Excludes Medical Aesthetics and Laboratory Tests; discounts do not apply to accommodation or retail.</t>
  </si>
  <si>
    <t>Retail is structured as a proprietary extension of the Chenot Method® rather than a standalone merchandising play, comprising ~25–28 in-house SKUs across four categories: the 2024 relaunched senolytic Essentials skincare collection (5 products, premium positioning), a professional-grade Functional Line used in treatments and sold for at-home continuation (~12–15 products including elixirs and massage oils), seven Chenot Diététique herbal teas aligned to detox and metabolic support, and the €47 hardback cookbook Detox at Home translating the 850 kcal/day Chenot Diet® into seasonal meal plans. Products are primarily sold on-site (with limited online enquiry-based sales), reinforcing a strategy of converting programme immersion into ongoing product revenue and method adherence post-stay.</t>
  </si>
  <si>
    <t>Programmes and rooms are priced entirely separately: guests pay a fixed per-person programme fee and add a per-night room rate, with both itemised independently. There is no bundled or all-inclusive pricing, allowing flexible room upgrades, dual-programme stays for couples, and straightforward extensions — all at flat year-round rates.</t>
  </si>
  <si>
    <t>1. À la carte treatments, medical aesthetics &amp; lab tests — priced separately, prescribed during stay, charged on final invoice (no published rates).
2. 100% prepayment required — full stay cost due at booking confirmation.
3. Cancellation penalties — up to 100% charge for &lt;7 days, no-show, late arrival or early departure.
4. Children (4+ years) — CHF 150/day extra bed; meals charged separately.
5. Dogs (≤30cm) — CHF 50/day + CHF 40/day walking service.
6. Airport transfers &amp; limousine — available on request, priced separately.
7. Translation services — additional fees may apply.
8. Early check-in / late check-out — may incur extra charges.
9. Local tourist tax (likely) — ~CHF 2–4 per person per night (not explicitly stated).</t>
  </si>
  <si>
    <t>A single flagship can scale brand influence when method, retention and outcomes are strong.</t>
  </si>
  <si>
    <t>Wellness is core, not ancillary: spa/clinical space is large relative to the room base.</t>
  </si>
  <si>
    <t>Still chiefly stay-led; scale comes from method depth, not broad format diversification.</t>
  </si>
  <si>
    <t>Method-led flagship with closely matched room and wellness capacity; brand power comes from protocol depth, not format spread.</t>
  </si>
  <si>
    <t>Chenot Espace</t>
  </si>
  <si>
    <t>One&amp;Only Portonovi</t>
  </si>
  <si>
    <t>Herceg Novi, Montenegro</t>
  </si>
  <si>
    <t>Detox Clinic</t>
  </si>
  <si>
    <t>HNW, UHNW, Affluent Wellness</t>
  </si>
  <si>
    <t>Chenot Espace at One&amp;Only Portonovi is a 4,000 m² medical wellness spa within the luxury Adriatic resort, created through an exclusive partnership between Chenot and One&amp;Only. Built around the Chenot Method®, it combines Traditional Chinese Medicine principles with advanced diagnostics (Chenot Lifestyle Biomarkers®) to personalise 2–7 night detox, stress and fitness programmes. Clinically led yet resort-embedded, it delivers structured medical-grade wellness within a Riviera-style coastal setting rather than a standalone clinic environment.</t>
  </si>
  <si>
    <t>Individual Wellness, Opportunistic Hotel Guest, High Performance</t>
  </si>
  <si>
    <t>Departments served (7 total):
1. Medical — consultation rooms, diagnostics, IV therapy, ozone, hydro-colon
2. Human Performance — fitness testing, neuromuscular activation, movement assessments
3. Hydrotherapy — hydro-aromatherapy, phyto-mud, hydro-jet rooms
4. Aesthetic — body and facial treatment rooms
5. Medical Aesthetic — device-based and regenerative treatments
6. Traditional Aesthetic — wraps, scrubs and heritage therapies
7. Sports &amp; Fitness — PT, Pilates, yoga (studio spaces separate from treatment rooms)
Note: Public sources confirm the total of 28 rooms but do not disclose a precise numerical split by room type; allocation spans consultation, diagnostic, hydrotherapy, massage and device-led aesthetic rooms</t>
  </si>
  <si>
    <t>Diagnostics &amp; Imaging (9)
Arterial stiffness / pulse wave analysis device; oxidative stress assessment system; AGE reader (glycation scanner); skin collagen ultrasound; minerals &amp; heavy metals spectrophotometer; Tanita body composition analyser; HRV stress test system with biofeedback; bio-energetic resonance analysis system; resting metabolic rate analyser (indirect calorimetry).
Labs &amp; Advanced Testing — Physical Infrastructure (1)
Laboratory diagnostic capability (blood &amp; urine sample collection; on-site processing not publicly specified).
Regenerative / Cell Therapy Infrastructure (1)
Ozone therapy system (systemic autohaemotherapy equipment).
IV / Infusion Infrastructure (1)
Dedicated intravenous nutrient therapy equipment.
Longevity Tech / Biohacking (4)
Whole-body cryotherapy chamber (–110°C); neuro-acoustic deep relaxation system; photo-biomodulation (LED) device; bio-energetic laser conductivity treatment device.
Medical Aesthetics — Capital Device Platforms (3)
HydraFacial MD system; INDIBA radiofrequency platform; SKINeo ultrasound-electrotherapy device.
Specialist Movement / Performance Testing (3)
Cardiorespiratory fitness assessment system (VO₂ breath-by-breath analyser); postural &amp; movement assessment system; neuromuscular activation system (Neurac / Redcord suspension sling).</t>
  </si>
  <si>
    <t>Programme-led, Treatment-led</t>
  </si>
  <si>
    <t>Integrated</t>
  </si>
  <si>
    <t>F&amp;B is clinically integrated through the mandatory Chenot Diet® (~850 kcal/day plant-based fasting-mimicking protocol), with a lighter ~1,200 kcal Biolight option. The diet is bundled into all residential programmes and supported by nutritional consultations, positioned as a metabolic intervention rather than standard resort dining.
Nutritionally and structurally, this mirrors Chenot Palace Weggis. The key difference is operational: at Weggis, meals are served in a fully dedicated, standalone dining room exclusively for programme guests, whereas at Portonovi the Chenot menu is delivered within the resort’s main restaurant (in a separate area), embedding the clinical diet inside a broader luxury F&amp;B environment.</t>
  </si>
  <si>
    <t>Light-touch medical</t>
  </si>
  <si>
    <t>Total practitioner headcount is not publicly disclosed, which is why the full count remains blank. 
What is confirmed is 2 on-site doctors (1 medical doctor in internal medicine/cardiology and 1 TCM/integrative doctor), supported by nursing (IV/ozone), physiotherapy, and a spa management team. The programme structure also requires on-site nutritionists, spa/body therapists, medical aesthetic technicians and fitness coaches, though individual names and total staff numbers are not published.</t>
  </si>
  <si>
    <t>Moderate-to-high capex resort integration: Purpose-built ~4,000 sqm medical wellness spa embedded within a new-build ultra-luxury resort, incorporating structured diagnostics, IV and ozone therapy, cryotherapy, hydrotherapy infrastructure and specialist treatment rooms. Capital intensity sits above a standard luxury spa due to medical-grade fit-out and equipment, but below a standalone hospital-scale longevity clinic given its resort-embedded model and absence of advanced imaging or surgical infrastructure.</t>
  </si>
  <si>
    <t>1. Advanced Detox — 6 days / 7 nights — from ~$4.6k
Flagship metabolic reset; full biomarker diagnostics, daily hydrotherapy circuit (phyto-mud, hydro-jet, hydro-aromatherapy), energetic massages and bio-energetic treatments under medical supervision.
2. De-Stress &amp; Re-Charge — 4 days / 5 nights — from ~$3.7k
Nervous-system recalibration and fatigue recovery; HRV testing, photo-biomodulation, neuro-acoustic relaxation, hydrotherapy and structured massage protocol.
3. Cleanse &amp; Rebalance — 3 days / 4 nights — from ~$2.4k
Short-format detox and metabolic refresh; Chenot Diet®, body composition analysis, hydrotherapy cycle and energetic treatments.
4. Fitness Boost — 3 days / 4 nights — from ~$2.4k
Performance optimisation; VO₂ assessment, postural analysis, neuromuscular activation, personalised training sessions plus recovery hydrotherapy.
5. Weekend Spa Deluxe — 2 days / 3 nights — price on request
Condensed restorative escape; Chenot Diet®, massages, hydrotherapy circuit and facial treatment.
6. Chenot Day Spa — 1 day — price on request
One-day detox circuit including hydrotherapy, massage and Chenot Diet lunch.
7. Complete Facial Care Programme — 1 day — price on request
Targeted aesthetic protocol; HydraFacial MD, customised mask booster and LED photo-biomodulation.
There is also a day pass option (separate from the 1-day programme) which just provides access to facilities:
Spa Day Passes (Facilities Access) — 1 day — ~€130–€190 band (seasonal)
Non-residential access to indoor pool, hammam, sauna, steam and relaxation areas; treatment and Chenot Diet lunch only included if booking the structured Day Spa programme.</t>
  </si>
  <si>
    <t>The 60+ treatment portfolio blends medical diagnostics, regenerative therapies, performance science and luxury spa modalities in a resort-adapted medical wellness format.
Medical &amp; Diagnostics: Doctor consultations, biomarker testing (vascular age, oxidative stress, AGEs, heavy metals), lab testing, HRV stress testing, metabolic rate analysis.
Clinical Therapies: IV nutrient infusions, systemic ozone therapy, hydro-colon therapy, acupuncture, bio-energetic treatments.
Performance &amp; Longevity Tech: VO₂ fitness testing, neuromuscular activation, cryotherapy (–110°C), neuro-acoustic therapy.
Hydrotherapy Core: Hydro-aromatherapy, phyto-mud wraps + hydro-jet (central to Chenot methodology).
Aesthetic &amp; Body Treatments: 10+ body massage protocols, lymphatic drainage, cellulite and abdominal treatments, prenatal massage.
Facial &amp; Medical Aesthetics: 6 Chenot facials, LED photo-biomodulation, HydraFacial variants, INDIBA radiofrequency, acoustic wave therapy, ultrasound + electrotherapy.
Movement &amp; Mind-Body: Personal training, Pilates, multi-style yoga (individual and group formats).
Overall, the offering sits at the intersection of medical wellness and high-end spa, with meaningful clinical infrastructure (IV, ozone, diagnostics) layered onto a large hydrotherapy and body-treatment base — broad in scope but not hospital-grade in intensity.
https://www.scribd.com/document/766575655/OOPM-Chenot-Espace-Brochure-and-Pricelist-Digital-May-2024</t>
  </si>
  <si>
    <t>Seasonal gym-led membership providing fitness and wet-area access, with the Privilege tier adding body composition analysis and a personalised nutrition consultation, but no clinical diagnostics or structured longevity programming.
1. 1-Month Membership (~$400 / €370): Unlimited gym access; indoor pool access; wet facilities (sauna, steam room, hammam); 20% spa treatment benefit.
2. 1-Month Privilege Membership (~$2,600 / €2,400): Unlimited gym access; indoor pool access; wet facilities (sauna, steam room, hammam); three group classes per week; body composition analysis; personalised nutrition consultation; welcome gift; 20% spa treatment benefit.
Membership valid only until March 31. From April 1, only Daily Spa access will be available (rate to be revised).</t>
  </si>
  <si>
    <t>Retail model mirrors that of Chenot Palace Weggis almost exactly, functioning as a brand-controlled extension of the Chenot Method® rather than a property-specific merchandising concept. The full Chenot portfolio — now spanning six product categories plus the cookbook — is distributed centrally by Chenot (HC International S.A., Switzerland) and retailed on-site through the spa boutique.
Relative to Weggis’ ~25–28 SKU structure, Portonovi carries the broader, updated global range: the 2024 senolytic Essentials skincare line (6 SKUs including SPF), the professional Functional Line, the legacy Cosmeceuticals, seven Actifs massage emulsions, four Elixirs for hydro-aromatherapy, seven Chenot Diététique teas, and the Detox at Home cookbook. There is no Portonovi-exclusive or co-branded product line, and no evidence of supplements or nutraceuticals — consistent with Weggis.
In both locations, retail is positioned as post-programme continuation: products used in treatments are available for purchase to reinforce adherence to the Chenot Diet® and treatment protocols at home. The key difference is not in product mix (which is effectively identical), but in context — Weggis operates as a fully immersive standalone medical destination, whereas Portonovi functions as a resort-embedded distribution point within a broader luxury hospitality ecosystem.</t>
  </si>
  <si>
    <t>accommodation and Chenot programmes operate on a deliberately unbundled model. The room rate includes only core resort access (pools, gym, sauna/steam, beach, breakfast), while all Chenot programmes, diagnostics, treatments and retail are priced separately and subject to a 10% service charge. The Chenot Diet® is bundled within programme pricing (not the room), and fully integrated “retreat” pricing is typically created by third-party wellness agents rather than the resort itself.</t>
  </si>
  <si>
    <t>1. Day passes from €130–€190 (non-resident access)
2. 10% mandatory service charge on all Chenot programmes and treatments 
3. Optional medical upsells (labs, IV therapy, ozone, hydro-colon, cryotherapy, private yoga) 
4. Festive surcharges, incl. compulsory New Year’s Eve gala dinner 
5. Government residential tax (€1 per adult per night) 
6. Extra guest surcharges (seasonally tiered) 
7. Pet fee (€55 per dog per night) 
8. Retail purchases and in-room spa treatments charged separately</t>
  </si>
  <si>
    <t>Shows Chenot can export its method via resort partnerships without building a second mothership.</t>
  </si>
  <si>
    <t>Meaningful resort wellness density, but still lighter than a true standalone clinic.</t>
  </si>
  <si>
    <t>Asset-light brand extension: Chenot provides method; One&amp;Only provides rooms and destination.</t>
  </si>
  <si>
    <t>Lighter Chenot resort translation with real wellness scale, but still reliant on One&amp;Only's destination platform.</t>
  </si>
  <si>
    <t>SHA Wellness Clinic, Spain</t>
  </si>
  <si>
    <t>AB Living Group</t>
  </si>
  <si>
    <t>Alicante, Spain</t>
  </si>
  <si>
    <t>HNW, Medical Tourism, UHNW, High Performance / Biohacker</t>
  </si>
  <si>
    <t>Founded in October 2008 by Alfredo Bataller Parietti, SHA Wellness Clinic is the flagship of AB Living Group — a 93-suite, 11-residence dedicated wellness clinic on the Mediterranean coast near Altea. The SHA Method integrates Western preventive medicine, regenerative therapies, and Eastern natural therapies (TCM, acupuncture, macrobiotic nutrition) across 50+ medical and holistic specialties. Named World's Best Wellness Clinic at the World Spa Awards for three consecutive years (2022–2024). Over 70,000 guests served since opening; 53% repeat rate. Now expanding internationally with SHA Mexico (opened Jan 2024) and SHA Emirates (announced 2025).</t>
  </si>
  <si>
    <t>SHA Spain operates a 90-room integrated medical and wellness clinic structured across four thematic treatment zones — Western medicine, Eastern medicine, hydrotherapy and bioenergetics — supported by 13+ specialist clinical departments. The facility combines consultation suites, regenerative procedure rooms, multi-station infusion areas, diagnostic labs and high-tech longevity rooms (HBOT, cryotherapy, neurostimulation) within a 6,000–8,000 m² purpose-built medical wellness environment.</t>
  </si>
  <si>
    <t>Diagnostics &amp; Imaging (14)
Advanced Preventive Diagnostic Circuit; digital infrared photoplethysmography; AGE reader (glycation scanner); segmental body composition analyser; 3D body scanner; facial &amp; hair diagnostic scanner; full-body densitometer (DEXA); ultrasound (multi-organ); Doppler ultrasound; Holter BP monitor; night polygraph (sleep study); dental digital imaging/visiograph; CAD-CAM digital smile design system; electromagnetic field mapping device.
Labs &amp; Advanced Testing — Physical Infrastructure (1)
On-site clinical laboratory (core biochemistry, metabolic, oxidative stress and hormonal analysis).
(Genomic and specialist panels outsourced.)
Regenerative / Cell Therapy Infrastructure (4)
Stem cell processing unit; PRP centrifuge system; therapeutic apheresis device; CAP (cold atmospheric plasma) cellular regeneration machine.
IV / Infusion Infrastructure (3)
Dedicated IV suite(s); medical ozone generator; intravenous laser therapy device.
Longevity Tech / Biohacking (11)
Whole-body cryotherapy cabin; CTN e°CABIN™; CTN X°CRYO™; hyperbaric oxygen chamber; IHHT altitude training device; brain photobiomodulation helmet; transcranial electrical stimulation system; PEMF/bioresonance device; Bioptron polarised light device; Human Tecar® RF system; inductive magnetic therapy device.
Medical Aesthetics — Capital Device Platforms (18)
Thermage FLX; Ultherapy; dual Fraxel laser; Clear &amp; Brilliant laser; EMSCULPT NEO; Emface; Emsella; Emfemme; CO2RE Intima laser; INDIBA® RF; icoone®; VelaShape III; IPL device; LEDS medical; Liposonix; pressotherapy unit; shock wave therapy device; dental radiology &amp; implantology suite.
Specialist Movement / Performance Testing (3)
ICAROS® VR system; wireless EMS suit; body-impact therapy device.</t>
  </si>
  <si>
    <t>SHAmadi Restaurant — dedicated macrobiotic-inspired wellness restaurant with three medically prescribed menus: SHA (gourmet, ~1,500 kcal/day, 3-course with seafood), Biolight (lighter, active detox) and Kushi (strictest, oil-free, flour-free, ~1,000 kcal/day). All menus exclude meat, refined sugar, dairy and eggs; seafood permitted. Each meal begins with miso soup; medicinal teas prescribed throughout the day. Guests are diet-assigned by nutritionist and cannot deviate.
The Chef's Studio — interactive cooking school for macrobiotic cuisine.
On-site organic garden. Non-programme guests: €175/person/day full-board supplement.
Executive Head Chef: Andrés Morán; historic connection to elBulli alumni (Pablo Montoro).</t>
  </si>
  <si>
    <t>SHA’s most defensible first-party figure is 350 specialist practitioners at SHA Spain (15th anniversary press release, October 2023), at which time Spain was the only operational property. This total encompasses the full multidisciplinary team across 50+ medical and wellness specialties. The frequently cited figure of 30+ full-time doctors refers specifically to on-site physicians and sits within the broader 350 total; however, this doctor breakdown is drawn from third-party partner sources rather than an explicitly stated SHA Spain figure.</t>
  </si>
  <si>
    <t>Purpose-built 27,000 m² campus with 7 interconnected buildings, 8,000 m² clinic with advanced diagnostic and regenerative infrastructure (cryotherapy, hyperbaric, photobiomodulation, ozone, IHT, neuromodulation), hydrotherapy circuit, heliport, cinema, organic garden and 11 private-pool residences — materially high capital commitment, though no hospital-grade imaging (MRI/CT) or surgical theatres.</t>
  </si>
  <si>
    <t>1. Stay Your Way — 3–7+ nights — from ~€2,895 (3 nights) to ~€6,755 (7 nights)
Flexible, build-your-own framework; core diagnostics, medical consult, personalised nutrition and hydrotherapy access, with treatments added à la carte.
(From €965 per guest/night.)
2. Detox &amp; Optimal Weight — 7–14 nights — from ~€7,105 (7 nights) to ~€14,210 (14 nights)
Structured metabolic reset; advanced diagnostics, body composition tracking and medically supervised detox therapies.
(From €1,015 per guest/night.)
3. Intensive Detox &amp; Optimal Weight — 7–14 nights — from ~€8,680 (7 nights) to ~€17,360 (14 nights)
Higher-intensity detox protocol; greater density of IV, regenerative and high-tech interventions.
(From €1,240 per guest/night.)
4. Advanced Longevity — 4–14 nights — from ~€6,260 (4 nights) to ~€21,910 (14 nights)
Flagship healthy-ageing programme; genomic and functional diagnostics, regenerative medicine and precision longevity therapies.
(From €1,565 per guest/night.)
5. Executive Health &amp; Performance — 4–14 nights — from ~€5,060 (4 nights) to ~€17,710 (14 nights)
Cognitive and physical optimisation; advanced diagnostics, regenerative support and structured performance protocols.
(From €1,265 per guest/night.)
6. Rebalance &amp; Energise — 4–14 nights — price on request (Spain per-night rate not clearly published)
Stress recovery and nervous-system recalibration; diagnostic block, personalised nutrition and restorative therapies.
7. Leader’s Performance — typically 4–14 nights — price on request
Executive resilience and performance optimisation; advanced diagnostics and regenerative interventions.
8. Well-Ageing &amp; Prevention — typically 7+ nights — price on request
Biological age assessment and preventive medicine focus; oxidative stress testing and regenerative therapies.
9. Women’s Health — typically 4–14 nights — price on request
Hormonal and intimate wellness focus; advanced diagnostics and targeted gynaecological therapies.</t>
  </si>
  <si>
    <t>SHA Spain offers 210+ individually priced à la carte treatments across medical diagnostics, genomic and longevity testing, IV and regenerative medicine (including stem-cell and plasma-based procedures), sexual health, cognitive therapies, advanced aesthetics, holistic medicine, psychology and physical performance.
The menu spans from basic laboratory tests (~$43) to high-ticket regenerative procedures (~$9,600), reflecting a fully integrated, physician-led medical longevity model rather than a traditional spa treatment list.</t>
  </si>
  <si>
    <t>No memberships, but do have SHA Privileged, a spend-based loyalty programme (not a paid membership). Guests are automatically enrolled after their first stay, earn 1 point per €10 spent, and unlock tiered benefits based on cumulative spend. There is no joining fee or annual cost, and access remains tied to booking a stay.
1. Ruby – 5% boutique &amp; wellness discount (excl. clinic, aesthetics, genetics).
2. Emerald (~€35k+ spend) – 10% discounts; late check-out; laundry benefit.
3. Diamond (~€75k+ spend) – Suite upgrade (subject to availability); private spa/cinema access; parking &amp; transfer perks.
Points downgrade after 36 months of inactivity and expire after 72 months.</t>
  </si>
  <si>
    <t>SHA Wellness Clinic operates the SHA Boutique, selling ~340 total products, of which ~35–37 SKUs are proprietary SHA-branded items. The remainder are curated third-party premium wellness and skincare brands (e.g. iS Clinical, Dr Barbara Sturm, La Prairie, Therabody, Cire Trudon).
SHA Own-Brand Range (Core Focus)
1. Supplements (~15 SKUs | €50–€120)
Biomarker-led nutraceuticals targeting weight, cholesterol, gut health, sleep, cognition, bone and joint health. Positioned as post-stay continuity tools under medical guidance.
2. Functional Teas (6 SKUs | €22–€24)
Slim, Detox, Digestive, Energy, Relax and Balance blends supporting metabolism, digestion and stress regulation.
3. Body &amp; Bath Oils / Toiletries (~6 SKUs | €8–€45)
Essential oils (detox, drainage, circulatory, relief), plus basic shower gel and shampoo.
4. Home Collection (~7 SKUs | €15–€35)
Lemongrass, Yin/Yang and Balance fragrance sprays and candles; small lifestyle accessories (e.g. SHA cap).
5. Books (2–3 titles | ~€28 print)
SHA-branded nutrition and longevity cookbooks.</t>
  </si>
  <si>
    <t>Accommodation priced separately from programmes but integrated:
1. Programme pricing excludes accommodation — guests select suite independently.
2. All programmes include full-board macrobiotic nutrition (3 meals/day + medicinal teas).
3. Non-programme stays: mandatory full-board (€175/person/day).
4. Suite rates: Deluxe (70 m²) €500/night; Superior (100 m²) €700/night; Grand (120 m²) €1,700/night; Premier Residence €2,000/night; Garden Residence €2,000/night; Penthouse Residence €4,000/night.
5. Virtuoso: room upgrade, $100 wellness credit, chef amenity, early/late check-in/out.</t>
  </si>
  <si>
    <t>1. Full-board meal plan (non-programme): €175/person/day.
2. Nutrition consultation: €160; validation (returning guests): €80.
3. 30% deposit to confirm; balance at check-in.
4. Prescribed supplements are additional purchases.
5. Villa Alma (995 m², 5 rooms, private spa): premium pricing for groups/families.</t>
  </si>
  <si>
    <t>Proves a clinic-led mothership can scale into a global platform when hospitality and medicine are both strong.</t>
  </si>
  <si>
    <t>A strongly wellness-weighted campus: clinical space and programmes clearly outrank pure room economics.</t>
  </si>
  <si>
    <t>Combines stays, treatments and residences; broader than clinic-only or hotel-spa models.</t>
  </si>
  <si>
    <t>Clinic-led wellness campus benchmark: deep medical infrastructure and residential logic create platform-level defensibility.</t>
  </si>
  <si>
    <t>SHA Emirates, Al Jurf (UAE)</t>
  </si>
  <si>
    <t>IMKAN / AB Living Group</t>
  </si>
  <si>
    <t>Pipeline</t>
  </si>
  <si>
    <t>Abu Dhabi, UAE</t>
  </si>
  <si>
    <t>SHA Wellness Clinic Emirates is the brand’s Middle East outpost: a purpose-built 12.5-hectare “healthy living island” at AlJurf developed in partnership with IMKAN, combining a ~120-suite health resort, 110+ treatment rooms delivering the full SHA Method, and 137 branded residences within a masterplanned wellness ecosystem. Unlike a satellite spa or embedded concept, it is a fully integrated destination spanning clinic, hospitality and real estate. Relative to the Spain flagship in Altea — which remains the clinical and reputational mothership — SHA Emirates is on a par in medical depth and methodology, but greater in spatial scale and real estate ambition, translating the original clinic-led model into a larger-format, infrastructure-backed lifestyle community for the Gulf market.</t>
  </si>
  <si>
    <t>Individual Wellness, Family / Multi-Gen, High Performance</t>
  </si>
  <si>
    <t>Undisclosed</t>
  </si>
  <si>
    <t>Full SHA Wellness Clinic with 110 treatment rooms (announced by Alejandro Bataller, Spa Business 2024). Expected to replicate SHA Spain's clinical offering across:
Medical consultation rooms (preventive/anti-ageing, regenerative, aesthetic, internal medicine, genomic medicine, nutrition, psychology, cognitive stimulation)
Holistic therapy rooms (acupuncture, osteopathy, shiatsu, reflexology, reiki)
High-tech treatment rooms (cryotherapy, hyperbaric oxygen, photobiomodulation, ozone therapy, IV infusion, neuromodulation, intermittent hypoxia training)
Hydrotherapy circuit
Spa &amp; wellness treatment cabins
Mind &amp; Body studios, fitness areas
Specific clinical configuration and treatment room breakdown not yet disclosed (under construction).</t>
  </si>
  <si>
    <t>Not yet published</t>
  </si>
  <si>
    <t>Residences, Programme-led, Treatment-led</t>
  </si>
  <si>
    <t>At SHA Wellness Clinic Emirates, nutrition remains a medically prescribed core pillar, delivered on a full-board basis with guests assigned one of the same three macrobiotic-inspired menus as the Spain flagship (SHA, Biolight or Kushi) following consultation, with predominantly plant-based cuisine and seafood permitted. As in Spain meals are therapeutic and non-optional; however, unlike the more singular SHAmadi-led dining model in Spain, Emirates expands the concept into a broader lifestyle ecosystem with multiple restaurants (including SHAmadi and fine-dining concept Earthy), a Juice Bar, The Chef’s Studio and island-wide healthy F&amp;B venues — scaling the clinical nutrition philosophy into a destination-level culinary offering.</t>
  </si>
  <si>
    <t xml:space="preserve">Undisclosed </t>
  </si>
  <si>
    <t>Not yet disclosed (under construction). SHA's official materials state that residents and guests will have access to "expert professionals, renowned doctors, therapists, personal trainers, yoga &amp; meditation instructors, healthy-cooking chefs, all available around the clock."
Expected to replicate SHA Spain's multi-disciplinary model with specialists in: preventive &amp; anti-ageing medicine, regenerative medicine, aesthetic medicine, holistic/natural therapy, cognitive stimulation, clinical psychology, nutrition/macrobiotics, physiotherapy, personal training, bioenergetics, plus additional departments as at the Spanish flagship.
SHA Spain employs 30–50 specialist physicians and 300–350 total staff; SHA Emirates with 110 treatment rooms (vs. Spain's 90) may require comparable or larger teams. Staffing details will be confirmed closer to opening.</t>
  </si>
  <si>
    <t>AED 600 million (~US$163 million) total investment for the SHA wellness clinic, health resort and island infrastructure. Broader AlJurf master plan valued at AED 15 billion. Purpose-built private island with 120 suites, 110 treatment rooms, 137 residences, multiple pavilions, marina, beach club, sustainability infrastructure (solar, WELL certification target). Biophilic architecture by international team (NMDC, SAOTA, HBA, SIEC, OTAK). Materially high capital commitment — island development, clinical infrastructure, residential construction across 125,000 sqm.</t>
  </si>
  <si>
    <t>Residential</t>
  </si>
  <si>
    <t>TBC</t>
  </si>
  <si>
    <t>Expected to mirror Spain as it's a full-spec clinic rather than a secondary expression</t>
  </si>
  <si>
    <t>"SHA Residences Owners Club — exclusive to residence purchasers. Benefits include:
• Unprecedented access to SHA Wellness Clinic (24/7 on-call doctors, therapists, trainers, chefs)
• In-residence medical and clinical treatments
• SHA Privileged programme (details TBC)
• Residence exchange modality between SHA properties (Spain, Mexico, Emirates)
• Room service from SHA restaurants, private chef/cooking services
• Access to all island pavilions, marina, beach club, gym, infinity pool, kids pool, business centre
• Private dock with mooring
No formal membership programme for non-residents announced. Resort guests (120 suites) expected to access facilities via programme or treatment bookings."
Also expected to assume the SHA Privileged loyalty programme.</t>
  </si>
  <si>
    <t>Via property purchase (from AED 4.6M)</t>
  </si>
  <si>
    <t>N/A (included with residence)</t>
  </si>
  <si>
    <t>Expected to replicate the SHA retail concept at Emirates with on-site boutique and personalised supplement prescriptions. Residential owners likely to receive product deliveries as part of SHA services.</t>
  </si>
  <si>
    <t>Details not yet published for SHA Emirates (under construction). Expected model based on SHA Spain:
1. Programme pricing separate from accommodation — guests select suite independently.
2. All programmes include full-board macrobiotic nutrition.
3. Non-programme stays: mandatory full-board meal supplement.
For residents (159 units): SHA services accessed via ownership (SHA Residences Owners Club), not via traditional room-rate integration. In-residence treatments and dining available on-demand.
Resort suite rates (120 suites) not yet disclosed; expected to be premium-priced given island exclusivity and UAE luxury market positioning. Nightly rates likely to exceed SHA Spain's €500–€4,000 range.</t>
  </si>
  <si>
    <t>1. Residential purchase: 70/30 payment plan (70% during construction, 30% on handover).
2. Service charges / community fees: not yet disclosed.
3. Expected programme supplements, nutrition consultations, and treatment add-ons (following SHA model).
4. Marina mooring fees and water sports activities: not yet disclosed.
5. Golden Visa eligibility: renewable 10-year visa for property owners, covering spouse, children and staff.</t>
  </si>
  <si>
    <t>Proves SHA can scale from clinic to full wellness ecosystem, including real estate.</t>
  </si>
  <si>
    <t>Designed at community scale: treatment capacity and residences materially exceed a normal resort model.</t>
  </si>
  <si>
    <t>Wellness becomes both operating business and residential product, not just a stay experience.</t>
  </si>
  <si>
    <t>Turns SHA into a wellness-plus-real-estate ecosystem; execution risk remains, but monetisation clearly moves beyond stays.</t>
  </si>
  <si>
    <t>Lanserhof Lans (Austria)</t>
  </si>
  <si>
    <t>Lanserhof Group</t>
  </si>
  <si>
    <t>Tyrol, Austria</t>
  </si>
  <si>
    <t>HNW, Medical Tourism, UHNW</t>
  </si>
  <si>
    <t>Lanserhof Lans is the original flagship of the Lanserhof Group, situated on an Alpine high plateau in Lans near Innsbruck, Tyrol, Austria. Opened as a hotel in 1974 and transformed into a Mayr-method medical spa in 1984, it was acquired and repositioned by the current Lanserhof team (Dr Christian Harisch, KR Anton Pletzer) in 1998. A major renovation and expansion by architect Christoph Ingenhoven in 2016–17 added a new 5-storey oval building (5,500 sqm), bathhouse, indoor/outdoor saltwater pool, cryotherapy chamber, sauna complex and expanded medical facilities, bringing the total footprint to ~10,000 sqm. The LANS Med Concept combines the traditional F.X. Mayr method (therapeutic fasting, gut health, detoxification) with modern diagnostics, naturopathy, energy medicine, psychoneuroimmunology and chronomedicine. ~30 consultant physicians from Innsbruck University provide specialist services on-site. 67 rooms and suites, 175 employees, &gt;90% occupancy, 68% repeat guest rate, average stay 10 days, minimum stay 7 nights. Lanserhof Group received €95M investment (2025) for global expansion; portfolio includes Tegernsee, Sylt, Hamburg, London and Marbella (2027). The group has ~925 employees and ~$50.9M revenue (ZoomInfo).</t>
  </si>
  <si>
    <t>Individual Wellness, Medical Recovery, High Performance</t>
  </si>
  <si>
    <t>The most defensible single estimate for the full clinical and treatment footprint at Lanserhof Lans is approximately 48 rooms/stations. Of these, 16 rooms are explicitly confirmed hands-on therapy rooms (massage/manual therapy suites referenced by booking platforms), while the remaining ~32 rooms are derived from programme infrastructure described across the official brochure and treatment inventories.
Confirmed or clearly identifiable spaces include consultation and examination rooms (≈6–8), diagnostic rooms such as ultrasound, cardiology testing, sleep lab and blood draw (≈5–6), massage/manual therapy rooms including colonic hydrotherapy (≈6–7), physiotherapy and movement therapy rooms (≈4–5), hydrotherapy and pack treatment rooms (≈4–6), infusion and advanced therapy rooms (≈4–6), and specialist technology suites for cryotherapy, body contouring and dermatology (≈4–5). While Lanserhof does not publicly disclose an exact room-by-room count, these functions collectively support its integrated medical diagnostics, detox therapies and therapeutic treatment stack, yielding an overall realistic range of ~41–54 rooms/stations, with ~48 used as the midpoint working estimate.
Main sources
Lanserhof Lans 2026 brochure – https://lanserhof.com/en/LHL_Broschuere_EN_OhnePreise.pdf
Healing Holidays listing – https://www.healingholidays.com/accommodation/austria/lanserhof-lans
Spa Business feature on Lanserhof – https://www.spabusiness.com/spa-business-magazine/Medical-spa-Lanserhof-The-missing-link/31684</t>
  </si>
  <si>
    <t xml:space="preserve">Diagnostics &amp; Imaging (13)
Echocardiography system; diagnostic ultrasound/sonography suite (abdomen, thyroid, carotid, prostate); colour Doppler vascular ultrasound; resting ECG; exercise ECG / ergometry; 24-hour Holter ECG monitoring; 24-hour ambulatory blood pressure monitoring; ankle–brachial index (ABI) vascular assessment device; spirometry lung-function system; FibroScan liver elastography device; capsule endoscopy system; sleep laboratory / polysomnography facility; 24-hour HRV monitoring platform. 
Labs &amp; Advanced Testing — Physical Infrastructure (3)
On-site phlebotomy / blood draw station (laboratory analysis outsourced); hydrogen/methane breath test system for SIBO and intolerance diagnostics; oral glucose tolerance testing station. 
Regenerative / Detox Infrastructure (4)
INUSpheresis® double-membrane apheresis system; ozone autohemotherapy generator; intravascular laser therapy device (multi-wavelength); colonic hydrotherapy unit. 
IV / Infusion Infrastructure (1)
Dedicated infusion therapy area with clinical IV administration stations integrated into medical programmes. 
Longevity Tech / Biohacking (3)
CellGym IHHT hypoxia–hyperoxia training system; whole-body cryotherapy chamber (−110 °C); Plasma Stream / QoreB water-plasma inhalation device. 
Medical Aesthetics — Capital Device Platforms (10)
EMSCULPT® HIFEM body-sculpting platform; CRISTAL Pro® cryolipolysis system; EndoSphères compressive microvibration device; HydraFacial™ hydradermabrasion system; STK Multiline ultrasound lifting device; Seyo TDA oxygen-pressure transdermal delivery system; medical microneedling device; INDIBA radiofrequency therapy system; microdermabrasion unit; LED photobiomodulation device. 
Specialist Movement / Performance Testing (4)
Spiroergometry / VO₂ max cardiopulmonary testing system; lactate diagnostics system; bioimpedance body-composition analyser; indirect calorimetry platform for basal metabolic rate measurement. </t>
  </si>
  <si>
    <t>Lanserhof Energy Cuisine — the proprietary F.X. Mayr-based nutrition programme, integral to every stay. Organic, regional and seasonal ingredients; meals follow the digestive rhythm (light supper, no raw food after 4pm). Three cuisine levels:
1. Energy Cuisine Basic — included in all cures; gentle, easily digestible meals aligned with Mayr principles
2. Energy Cuisine 3/2 — enhanced nutrition plan; +€49/person/day supplement
3. Energy Cuisine Active — for athletic programmes; +€49/person/day supplement
Chewing training is part of the method. Cooking lectures and nutritional consultations available (€224–289 à la carte). No alcohol, coffee or stimulants during cure. Medically prescribed menus tailored to individual diagnoses and nutritional needs. All food prepared on-site; emphasis on gut-friendly, anti-inflammatory, alkaline-forming nutrition.</t>
  </si>
  <si>
    <t>Lanserhof Lans operates with an on-site clinical and therapy team of ~50 specialists, including approximately 5–8 full-time resident physicians (general medicine/F.X. Mayr, internal medicine and cardiology) supported by therapists, diagnostic staff, nutrition specialists, movement trainers and psychotherapy practitioners. In addition to this resident team, the clinic is supported by ~35 external specialist consultants, largely affiliated with the **Medical University of Innsbruck and nearby university hospitals, who attend on a visiting basis to provide specialist disciplines not permanently staffed on-site.</t>
  </si>
  <si>
    <t>2016–17 Ingenhoven renovation: major expansion adding 5,500 sqm new oval building (5 storeys), new bathhouse with indoor/outdoor saltwater pool, 3-room cryotherapy chamber, sauna complex, 16 additional rooms/suites, expanded medical and diagnostic facilities. Estimated investment in the tens of millions (exact figure not disclosed; Lanserhof Sylt cost €100M for 20,000 sqm and Marbella €93M for 23,500 sqm — Lans at ~10,000 sqm and partial renovation would be materially lower). Group-wide €95M investment secured in 2025 for further expansion. Original property conversion from hotel to medical spa (1984, 1998) — not disclosed.</t>
  </si>
  <si>
    <t>Core detox programmes
1. Lanserhof Cure Classic — 7–21 nights — from ~€2.9k–€6.1k
Foundational Mayr detox and gut regeneration programme; physician consultations, therapeutic massage, detox drainage, algae pack with liver wrap, foot reflexology, Kneipp therapy and daily movement/relaxation sessions.
2. Lanserhof Cure Classic Plus — 7–21 nights — from ~€4.0k–€7.2k
Expanded Classic protocol with additional diagnostics and therapies including craniosacral therapy, energetic treatments, VO₂ performance testing and Fibroscan liver assessment.
3. Lanserhof Cure Advanced — 14 nights — from ~€6.2k
More intensive diagnostic programme including metabolic and micronutrient analysis, ageing biomarkers, personal training and expanded detox therapies.
4. Lanserhof Cure Active — 7 nights — from ~€4.0k
Performance-oriented detox programme integrating sports diagnostics (spiroergometry), personal training, yoga, respiratory therapy and cryotherapy.
Specialised medical programmes
5. Longevity Programme — 7 nights — from ~€6.5k
Biological-age optimisation programme using preventive blood analysis, HRV monitoring, cryotherapy, simulated altitude training (IHHT/CellGym), performance diagnostics and longevity-focused infusions.
6. Hormone Balance — 7 nights — from ~€3.9k
Women’s hormonal health programme combining endocrine diagnostics, bone density measurement, detox therapy and targeted lifestyle and movement interventions.
7. Mental Health Programme — 7 nights — from ~€3.6k
Psychological resilience programme addressing stress, trauma and emotional wellbeing through psychotherapy, hypnosis, energetic therapies and physician-led detox support.
8. Long Covid Recovery — 14 nights — from ~€4.8k–€7.9k
Post-viral recovery programme targeting fatigue, inflammation and respiratory impairment using IHHT metabolic activation, breathing therapy, lymphatic drainage and immune diagnostics.
Targeted therapeutic modules
9. INUSpheresis® Programme — 7 nights — from ~€7.9k
Advanced blood purification protocol removing inflammatory mediators, toxins and metabolic by-products via specialised plasma filtration.
10. Weight Loss Injection Management — 7 nights — from ~€5.3k
Medically supervised programme supporting GLP-1 weight-loss medications with metabolic monitoring, body-composition tracking, detox therapies and personalised training.</t>
  </si>
  <si>
    <t>Extensive à la carte treatment menu (~90+ treatments, 2022 brochure). Key categories and price ranges (EUR):
DIAGNOSTICS &amp; SPECIALIST EXAMS:
• Internal check €1,562 / Cardiology check €1,992
• Echocardiography €428 / Ergometry €378 / Spirometry €134 / Spiroergometry €308
• Capsule endoscopy €1,599 / Sleep laboratory €1,166 / HRV 24h €508
• Ultrasound (abdomen €378, thyroid €216, neck vessels €218, prostate €186)
• Specialist exams: dermatological €236, neurological €449, urological €478, dental €242
• Hormone profile €347 / Microimmunological profile €544 / Heavy metal analysis €259
AESTHETICS (LANS Derma):
• PRP aesthetics/hair €678 / Mesotherapy €268–346 / Medical needling €346
• HydraFacial €313 (with décolleté €392) / EMSCULPT €510–990 per zone
• EndoSphéres €198–297 / Dental bleaching €680
• Aesthetics Face module €1,567 / Aesthetics Hair module €1,352
HOLISTIC &amp; ENERGY MEDICINE:
• Acupuncture €204–272 / Shiatsu €164 / Craniosacral therapy €174
• Foot reflexology €78 / Aqua Relax €178 / Spiritual cleansing €205
• Hara Shin €252 / Medical energetic treatment €378
BODY TREATMENTS:
• Therapeutic massage €144 / Lymphatic drainage €156 / Colonic hydrotherapy €262
• Detox drainage €144 / Warm herbal steam massage €164 / Nuad Thai €176
• Various wraps/packs €98–168 / Baths €64–112
MOVEMENT &amp; MIND:
• Personal training €164 / Yoga €164 / Pilates €164 / Osteopathy €208
• Mental coaching €242 / Psychological consultation €242 / Hypnosis €216
INFUSIONS &amp; HIGH-TECH:
• Ozone own blood from €190 / Intravascular laser &amp; oxygen from €240
• CellGym IHHT €129 / Cold chamber €82
• Liver infusion €172
NUTRITION: Nutritional consultation €224 / Counselling with diet plan €289</t>
  </si>
  <si>
    <t>No formal membership or loyalty programme identified. Lanserhof Lans operates a pure destination medical wellness model where guests book programme-based stays (minimum 7 nights). The 68% repeat guest rate suggests strong organic loyalty without a structured programme. Lanserhof at The Arts Club in London operates separately as a private members' club wellness concept (in partnership with The Arts Club), but this is not linked to Lans as a membership benefit. No published joining fee, annual fee or tiered membership structure for Lans guests.</t>
  </si>
  <si>
    <t>Lanserhof operates multiple product lines available in-house and online (shop.lanserhof.com):
1. LANS Derma — certified natural skincare range developed with Lanserhof medical/dermatology team. Austrian-produced, organic ingredients. Sensitive Face line (9 products: cleansing emulsion, tonic, peeling, eye cream, hyaluronic gel, 3x face creams, face mask). Body care ranges: BALANCE, ENERGY, VITALITY, CARE (6 products each: shower gel, body peeling, shampoo, body oil, body cream, hair conditioner). Free from synthetic fragrances/colourings/silicone/parabens. NATRUE-standard raw materials.
2. LANSERHOF LAB Skincare — newer line with 6 serums and 3 creams including vitamin C serum and Anti Age Spot Serum. 96% natural origin, vegan, unisex, fragrance-free. Hightech cosmetics.
3. Lanserhof Lab Supplements — dietary supplements developed from in-house medical expertise, addressing micronutrient deficiencies, sleep (melatonin), gut health, immunity. Available in-house and online.
4. Lanserhof Energy Cuisine products — natural food products (herbal teas in apothecary quality, metabolism drinks with vegan proteins and fermented superfoods, organic food items). Developed with Lanserhof chefs and nutritional scientists.
5. Gift vouchers for stays and treatments.
Premium supplement and cosmetics product line expansion planned with €95M investment (2025). Retail presence at all Lanserhof locations.</t>
  </si>
  <si>
    <t>Programme pricing and accommodation are separate, allowing guests to choose room independently:
1. Programme fee: covers medical consultations, therapies, treatments as per programme (e.g., Cure Classic 7n €2,514, Cure Advanced 14n €6,244).
2. Accommodation fee: per person per night, payable alongside programme. Ranges from €490/night (Single, 20 sqm) to €2,500/night (Corner Suite, 65 sqm); Panorama Suite (100 sqm) on request.
3. Energy Cuisine: Basic level included in all cures; 3/2 and Active upgrades at +€49/person/day.
4. Mandatory daily flat rate: ~€62–63/night covering on-call physician, daily Kneipp, group movement/relaxation, lectures — included in programme pricing.
5. Nutritional supplements and medications: additional, prescribed individually.
6. À la carte treatments: available for additional booking beyond programme inclusions.
Double occupancy pricing available for all room types (per person rate reduces). Early arrival/late departure: 50% daily room rate surcharge (subject to availability). Deposit required for room reservation.</t>
  </si>
  <si>
    <t>1. Mandatory daily flat rate: ~€62–63/night (on-call physician, Kneipp, group therapies, lectures) — generally included in cure programme pricing.
2. Energy Cuisine upgrade (3/2 or Active level): +€49/person/day.
3. Nutritional supplements and medications: individually prescribed, additional cost.
4. Early arrival (before 12pm) or late departure (until 5pm): 50% daily room rate.
5. Specialist examinations: some conducted off-site at Innsbruck University Hospital (ophthalmology, gastroscopy/colonoscopy, radiology, gynaecology) — separate fee.
6. Cancellation policy: &lt;4 weeks = 50%, &lt;7 days = 90%, no-show/late departure = 100%.
7. Deposit required for room reservation (IBAN provided at booking).
8. Insurance reimbursement: not guaranteed; guests advised to check with private insurers.
9. Minimum age: 16+ (must be accompanied by an adult). No pets.</t>
  </si>
  <si>
    <t>One disciplined flagship can anchor a wider brand if repeat rates and medical credibility are high.</t>
  </si>
  <si>
    <t>Compact but clinically dense: more serious than a spa resort, less sprawling than SHA.</t>
  </si>
  <si>
    <t>Intentionally narrow: programme-led medical stays take priority over memberships or lifestyle spin-offs.</t>
  </si>
  <si>
    <t>Disciplined medical-stay benchmark: clinically credible and outcomes-led, with less lifestyle sprawl and clearer brand logic.</t>
  </si>
  <si>
    <t>Lanserhof at The Arts Club (London, UK)</t>
  </si>
  <si>
    <t>The Arts Club Mayfair</t>
  </si>
  <si>
    <t>London, UK</t>
  </si>
  <si>
    <t>UHNW, HNW, High Performance / Biohacker</t>
  </si>
  <si>
    <t>2019</t>
  </si>
  <si>
    <t>Lanserhof at The Arts Club is the world's first "medical gym" — a six-storey urban wellness clinic and private members' club in Mayfair, London. A joint venture between the Lanserhof Group and The Arts Club (founded 1863, co-founded by Charles Dickens), it occupies the former Dover Street Market building at 17-18 Dover Street. Designed by Christoph Ingenhoven / ingenhoven associates, the 2,000 sqm facility spans six floors housing a state-of-the-art Technogym-equipped gym, movement/spine biomechanical lab, 3T Siemens Skyra MRI scanner, cryotherapy chamber, studio for group classes (reformer Pilates, yoga, HIIT), infusion suite, hyperbaric oxygen therapy, intermittent hypoxic therapy (AirZone), consultation rooms for orthopaedics, cardiology, GP/functional medicine, sleep medicine, nutrition, plus treatment rooms for physiotherapy, osteopathy, chiropractic, massage and aesthetic treatments. The medical team numbers ~30 doctors, physicians and specialists (at launch) plus 16 specialists listed on Doctify, led by Medical Director Mr Sebastian Kunz (orthopaedic/trauma surgeon). Offers a signature LIFE (Lanserhof Integrative Fasting Experience) programme in 7/14/21-day formats. Five membership tiers: Full, Executive, Overseas, Corporate and Young Person. Annual membership from £3,200 (£1,600 joining fee); Lanserhof add-on from £334/month for Arts Club members. Won World's Best Private Members' Club Spa and World's Best Spa Design (World Spa Awards 2019). IF Design Award and OPAL Award Platinum (2020).</t>
  </si>
  <si>
    <t>Individual Wellness, High Performance, Medical Recovery, Corporate</t>
  </si>
  <si>
    <t>Across multiple public sources, 14 distinct clinical and treatment room types can be identified at Lanserhof at The Arts Club London, though no single official figure exists for the total number of rooms. The count below therefore represents a reconstructed tally of room types rather than the exact number of individual rooms, with several categories described in the plural and therefore likely comprising multiple rooms in practice. 
Clinical &amp; Diagnostic Rooms (6): MRI suite; consultation rooms for GP/specialists; cardiology screening room; IV infusion lab; spine diagnostics lab; movement lab with 3D motion capture.
Physical Therapy / Rehabilitation (3): two physical therapy labs; NESA neuromodulation therapy room.
Treatment &amp; Therapy Rooms (5): cryotherapy pre-chamber and main chamber; massage / sports massage treatment rooms; Augustinus Bader Skin Lab aesthetic treatment rooms; sports injury treatment rooms.
Key clarification: Because consultation rooms, massage rooms, aesthetic treatment rooms and sports injury rooms are referenced without exact quantities, the true number of physical rooms is likely higher than the 14 room types identified.</t>
  </si>
  <si>
    <t xml:space="preserve">Diagnostics &amp; Imaging (4)
Siemens MAGNETOM Skyra 3T open-bore MRI scanner; diagnostic ultrasound / sonography system (joint, soft tissue and guided procedures); 12-lead resting ECG system; echocardiography unit for structural and functional cardiac imaging. 
Labs &amp; Advanced Testing — Physical Infrastructure (1)
On-site phlebotomy / blood-draw station for specimen collection (laboratory analysis conducted externally via partner labs rather than an in-house wet lab). 
IV / Infusion Infrastructure (3)
Dedicated IV infusion therapy room with clinical infusion stations; IV ozone therapy generator; Oxyven intravenous oxygen therapy system. 
Longevity Tech / Biohacking (3)
Whole-body cryotherapy chamber (approx. −60 °C to −110 °C); Airzone intermittent hypoxic–hyperoxic training (IHHT) system; hyperbaric oxygen therapy (HBOT) chamber. 
Medical Aesthetics — Capital Device Platforms (4)
Dermalux LED photobiomodulation system; radiofrequency skin-tightening device; DermaFrac microneedling &amp; microdermabrasion platform; extracorporeal shockwave therapy device (used for MSK regeneration and pain management). 
Specialist Movement / Performance Testing (9)
CTT Centaur spine diagnostics / training system; 3D motion-capture biomechanics lab; 3D body scanner; isokinetic dynamometer; force-plate biomechanical analysis platform; ICAROS VR neuromotor training device; cardiopulmonary exercise testing (CPET / spiroergometry) system; WatchPAT sleep-apnoea diagnostic device; actigraphy sleep-tracking device. </t>
  </si>
  <si>
    <t>Lanserhof at The Arts Club maintains formal fast-track referral partnerships with two major London hospital providers: HCA Healthcare UK — including The Wellington Hospital, The London Bridge Hospital, The Princess Grace Hospital, The Lister Hospital, and The Portland Hospital — as well as Cleveland Clinic London.
Through these partnerships, patients requiring inpatient treatment, emergency care, surgery, or advanced diagnostics beyond the clinic’s scope can be rapidly referred and admitted via a medical concierge pathway, reducing registration and admission times. Lanserhof therefore operates primarily as an outpatient preventative and diagnostic clinic, with hospital partners providing secondary and acute care when needed.</t>
  </si>
  <si>
    <t>Membership-led, Treatment-led, Programme-led</t>
  </si>
  <si>
    <t>Members' Lounge — exclusive first-floor lounge serving a light, nourishing menu inspired by Lanserhof's Mayr principles. Healthy snacks and drinks including 10 signature herbal tea blends (e.g., "Active" — green tea, lemon verbena, lemongrass; "Detox" — birch, pansy, melissa, dandelion root) and smoothies. No coffee or alcohol. Rehydration stations on each floor.
Core Mayr principles displayed: "Every bite should be chewed at least 30 times," "Leave 4-5 hours between meals," "Drink a large glass of water 15-30 minutes before each meal."
LIFE fasting programme includes personalised meal plans from dietary chefs, available for collection from the Members' Lounge or as takeaway; delivery options at additional cost.
Not a full restaurant — light menu only, focused on supporting the clinical and training experience. Members' Lounge accessible throughout the day for all members.</t>
  </si>
  <si>
    <t xml:space="preserve">Based on the Lanserhof website team listing, ~16 medically qualified doctors practise at Lanserhof at The Arts Club London. These are physicians holding Dr or Professor titles across specialties including gastroenterology, general practice, cardiology, neurology/sleep medicine, radiology, orthopaedics, spine surgery, endocrinology, and sports &amp; MSK medicine.
Alongside these are ~12 additional allied health and performance specialists (e.g., nutritionists, physiotherapists, osteopaths, chiropractors, sports therapists and exercise physiologists).
https://lhtac.com/medical-facility/medical-team/
https://lhtac.com/lanserhof-performance/team/ </t>
  </si>
  <si>
    <t>Conversion of a six-storey Mayfair townhouse/retail building (former Dover Street Market) into a medical wellness facility. Designed by Ingenhoven Architects (Düsseldorf). Includes installation of a 3T Siemens Skyra MRI scanner (typically £1-2M alone), cryotherapy chamber, hyperbaric oxygen chamber, biomechanical spine/movement lab with aerospace-grade equipment, full gym fitout by Technogym, medical consultation rooms, infusion suite, studio, members' lounge and six floors of bespoke interiors (Spinneybeck leather, brushed brass, Corian, Vitra furniture). Exact investment not disclosed; materially lower than destination resort builds (Sylt €100M, Marbella €93M) given no accommodation or large-scale wellness infrastructure, but significant for a London fitout (estimated £10-20M+ based on comparable Mayfair medical/fitness club conversions).</t>
  </si>
  <si>
    <t>1. LIFE — Lanserhof Integrative Fasting Experience (7/14/21 days):
Signature medically-supervised fasting programme based on LANS Med Concept (F.X. Mayr method). Includes initial lifestyle consultation, follow-up, nurse assessments, comprehensive functional blood tests, functional gut health analysis, nutritional consultation, IV treatments, supplement supply, body composition MRI or Styku scan, abdominal treatments, fasting level adjustments, deep tissue massage, lymphatic drainage, visceral osteopathy, personal training, urine analysis, resting ECG.
• LIFE 7 days: from £2,500 (updated 2023 brochure) / £5,000 (original 2022 brochure)
• LIFE 14 days: from £4,000 (updated) / £7,000 (original)
• LIFE 21 days: £9,000 (2022)
Members receive preferential rate. Meals from personalised fasting plan available in Members' Lounge or as takeaway.
2. LORE — Lanserhof Optimal Resilience Experience (50 mins, £290):
HeartMath coaching, trauma therapy (somatic experiencing), motivational interviewing.
3. LITE — Lanserhof Integrative Therapy Experience (50 mins, £290):
Acupuncture, Jin Shin Jyutsu, neural therapy, micro-immuno therapy/sanum therapy.
4. Functional Analysis Packages:
• Basic Check (30 mins): from £390
• Check Plus (60 mins): from £690
• Elite Check (90 mins): from £990
(Include follow-up consultation, assessments, report, personalised exercise plan. Require initial orthopaedic consultation £275.)
Corporate Health Screening packages also available (Ultimate Health Check Up, Cardiac Health Check Up).</t>
  </si>
  <si>
    <t>Comprehensive à la carte treatment menu (~70+ services, 2022 price list). Key categories and prices (GBP):
DIAGNOSTICS &amp; IMAGING:
• MRI: one part £790, two parts £1,200, three £1,680, four £2,160, cardiac £2,030, whole body £2,950, body composition £490
• Ultrasound: from £320 (one part), from £400 (two parts)
• ECG: resting £105, stress ECG £275
• Echocardiogram: £400 / CPET: £595
• 3D Body Scan: £120-£150 / DNA Life profile: from £860
• Blood testing: from £50; comprehensive profiles £297-£807
• Sleep diagnostics: £190-£590
MEDICAL CONSULTATIONS:
• GP: £125-£200 / Integrative (60 min): £390 / Functional Medicine (90 min): £550
• Orthopaedic: £275 / Cardiology: £275 / Dermatology: £225 / Nutrition: £220
• LORE/LITE programmes: £290 each
MSK &amp; REHABILITATION:
• Physiotherapy: £120-£155 / Osteopathy: £140-£155 / Chiropractic: £140-£155
• Shockwave therapy: £250 single, £1,300/6 sessions
• Ultrasound-guided injection (PRP): £600-£1,200
• Functional analysis packages: £390-£990
MASSAGE &amp; BODY:
• Massage: £110-£180 / Lymphatic drainage: £110-£130 / Cupping: £130-£150
• Hot &amp; cold stone: £130-£150 / Fascial stretch: £110-£130
INFUSIONS &amp; HIGH-TECH:
• IV infusions: £170-£400 / Ozone therapy: £200-£250
• Hyperbaric oxygen: £200-£225 single, £3,200-£3,600/20 sessions
• IHHT (AirZone): £110-£120 / Cryotherapy: £75-£80 single
BEAUTY &amp; AESTHETICS:
• Augustinus Bader facials: £170-£280+ / Royal Fern: £140-£240
• DermaFrac: £200-£310 / Radiofrequency: £100 / LED: £40
• Microneedling: £500 / Meso PRP: £1,000 / FaceRestoration: from £475
PERSONAL TRAINING:
• Single session: £110 / 30-pack: £2,850 (members only)
• Group classes: included in membership
SUPPLEMENTS: Bioniq personalised: from £250/month</t>
  </si>
  <si>
    <t>Lanserhof at The Arts Club operates as a standalone medical wellness members’ club (separate from The Arts Club), though existing Arts Club members can add Lanserhof access. Non-members may also access the medical clinic and treatments, while gym, studio classes, and Members’ Lounge require membership. 
Medical Team - Lanserhof at The…
Membership Tiers (6)
1. Full Membership — London-based individuals
Includes: unlimited gym and studio classes, Members’ Lounge access, member pricing on medical services, 10% discount at Lanserhof resorts, 5 guest passes, 3D body scan, movement assessment and bespoke training plan, spine assessment, initial GP consultation, MSK assessment, PT session, cryotherapy session and infusion, plus butler service and £2,500 club credit.
Reference pricing: ~£6,500/year + ~£1,500 joining fee (reported ranges across sources).
2. Executive Membership — high-inclusion package
Includes all Full benefits plus 60 personal training sessions, 12 massages, 10 cryotherapy sessions, and 10 guest passes.
Pricing: on application.
3. Overseas Membership — non-UK residents
Includes 36 visits per year (classes within visit allowance), onboarding assessments, 3 guest passes, butler service and remote training support.
Pricing: on application.
4. Corporate Membership — company-sponsored
Includes gym access and unlimited classes plus an initial Health Screening (GP consultation, baseline assessment, ECG, blood and urine tests, 3D body scan), with options to upgrade to advanced health check packages.
Pricing: on application.
5. Young Person Membership — under 33
Includes unlimited gym and classes, Members’ Lounge access, member pricing on treatments, 5 guest passes, 3D body scan, initial GP consultation and MSK assessment.
Pricing: on application.
6. Gym-Only Membership
Fitness-only access tier listed by the club; full details provided on enquiry.
Additional Notes
Member discounts: typically ~10–15% on treatments compared with non-member rates (e.g., cryotherapy, HBOT, infusions).
Arts Club members: may add Lanserhof access (reported from ~£334/month historically).
Butler service: optional add-on providing services such as sportswear laundry and preparation.
Overall: Lanserhof London combines fitness club access, medical diagnostics, and longevity services within a membership model, while still allowing non-members to book medical treatments individually.</t>
  </si>
  <si>
    <t>On-site retail/product offering:
1. LANS Derma products — in-house skincare products available in changing rooms (confirmed by Evening Standard).
2. Bioniq personalised supplements — prescribed following blood tests, from £250/month.
3. Third-party premium skincare brands used in treatments and available for purchase: Augustinus Bader, Royal Fern, MBR Medical Beauty Research, REVIDERM, Su Man Hsu, Epionce, Dr Rabia Malik. Augustinus Bader has a dedicated branded treatment suite on the ground floor (designed by Studio Stassano with MIES R copper mesh).
4. EVO haircare products in changing rooms.
5. "A broad range of supplements are available" (price list) — beyond Bioniq, general supplement retail.
No dedicated retail shop identified; products integrated into treatment and changing room environments.</t>
  </si>
  <si>
    <t>N/A — Lanserhof at The Arts Club is a day-visit urban clinic with no accommodation. Revenue is driven by membership fees, à la carte treatments and programme fees.
However, all Lanserhof at The Arts Club members receive 10% off room rates at Lanserhof destination resorts (Lans, Tegernsee, Sylt, Marbella), creating a cross-selling relationship between the urban outpost and the group's destination properties.</t>
  </si>
  <si>
    <t>1. Joining fee: £1,600 (one-off, for Full membership; "member assessment" per Harper's Bazaar).
2. Butler service (sportswear laundry): reported £1,000/year (Evening Standard 2019).
3. Non-member surcharges: medical services ~10-20% premium for non-members on most treatments.
4. MRI contrast surcharge: £280 (additional).
5. LIFE fasting programme: meals from personalised plan included; delivery at additional cost.
6. Personal training: £110/session if not in Executive membership (members only).
7. Group classes: included in all memberships.
8. Bioniq supplements: from £250/month (following blood test prescription).
9. Finishing touches (RUUBY partnership): blow dry £65, gel manicure £55.
10. Open Mon-Fri 08:00-18:00, Sat 10:00-17:00, closed Sunday.</t>
  </si>
  <si>
    <t>Shows a destination clinic can urbanise through a members' club without fully losing medical credibility.</t>
  </si>
  <si>
    <t>Very dense for central London: small footprint, high medical and performance intensity.</t>
  </si>
  <si>
    <t>Adds membership, corporate and outpatient revenue; continuity layer, not full destination replacement.</t>
  </si>
  <si>
    <t>Urban continuity for the Lanserhof method: strong outpatient credibility, but convenience and retention outweigh immersion.</t>
  </si>
  <si>
    <t>BodySpace at Mandarin Oriental Hyde Park</t>
  </si>
  <si>
    <t>Mandarin Oriental Hotel Group / BodySpace</t>
  </si>
  <si>
    <t>Luxury Wellness Retreat</t>
  </si>
  <si>
    <t>2023</t>
  </si>
  <si>
    <t>BodySpace is a performance and lifestyle wellness programme embedded within the Spa at Mandarin Oriental Hyde Park, London, launched in 2023 by wellness consultant Stephen Price and performance coach David Higgins.
Importantly, it is not a standalone clinic or dedicated facility, but a branded partnership operating within the hotel’s spa infrastructure, which includes 17 treatment/consultation rooms, a 17-metre pool, thermal spa facilities, fitness centre, and Movementum Studio.
BodySpace primarily delivers membership-led fitness, performance optimisation, and recovery programmes, while treatments and clinical services are provided through the wider spa and partner brands such as Clinique La Prairie.
Operates as a small integration alongside but separate from a Longevity Hub by CLP within the same hotel.</t>
  </si>
  <si>
    <t>Individual Wellness, High Performance, Opportunistic Hotel Guest</t>
  </si>
  <si>
    <t>No specified dedicated area, more of a branded integration within the spa facility</t>
  </si>
  <si>
    <t>No dedicated/owned treatment rooms, but the spa facility at the hotel has 17
Post-2018 renovation (current layout, per the Spa &amp; Wellness press release):
        •        13 treatment rooms (including the Oriental Suite with two massage beds and a Rasul water temple)
        •        1 ASANTE Chinese Medicine consultation/treatment room
        •        1 Bastien Gonzalez Pedi:Mani:Cure Studio
        •        2 beauty rooms (express treatments)
Total: 17 bookable treatment/clinical rooms
https://photos.mandarinoriental.com/is/content/MandarinOriental/corporate-london-3PK-spa-overview</t>
  </si>
  <si>
    <t xml:space="preserve">Diagnostics &amp; Imaging (1)
VISIA skin analysis imaging system for multi-spectral facial diagnostics and skin-age benchmarking. 
Labs &amp; Advanced Testing — Physical Infrastructure (0)
No confirmed on-site laboratory infrastructure; blood panels referenced in programmes are processed externally. 
IV / Infusion Infrastructure (0)
No dedicated IV infusion suites or infusion-specific equipment confirmed at the Hyde Park site. 
Longevity Tech / Biohacking (7)
EMS (electro muscle stimulation) training system; NormaTec dynamic compression recovery boots; Hyperice Hypervolt percussion therapy devices; Bon Charge infrared PEMF sauna dome; Bon Charge red-light therapy panel; Bon Charge full-body red-light therapy blanket; Bon Charge red-light facial mask. 
Medical Aesthetics — Capital Device Platforms (3)
Dermalux LED phototherapy device; Biologique Recherche Remodeling Face machine (bio-electrotherapy + radiofrequency facial platform); Nescens mechanical lymphatic drainage device. 
Specialist Movement / Performance Testing (8)
Firstbeat Life HRV and recovery monitoring system; Output Sports motion-sensor performance testing platform; Functional Movement Screen (FMS) assessment kit; 12-lead ECG; echocardiography system; cardiopulmonary exercise testing (CPET) system; isokinetic dynamometer; force-plate diagnostics system (latter five accessed via off-site partnership with the Institute of Sport, Exercise and Health). </t>
  </si>
  <si>
    <t>Formal clinical partnership with the Institute of Sport, Exercise &amp; Health (ISEH) providing off-site cardiology and performance diagnostics (ECG, echocardiography, CPET, isokinetic testing, force plates) and sports medicine specialists; operates alongside a Clinique La Prairie longevity partnership within the spa.</t>
  </si>
  <si>
    <t>Three hotel restaurants and one bar, all available to BodySpace members (10% discount):
1. Dinner by Heston Blumenthal — two Michelin stars. Historical British cuisine in a contemporary setting with views of Hyde Park.
2. The Aubrey — traditional Japanese izakaya dining.
3. The Rosebery — award-winning afternoon teas; healthy cuisine options for wellness retreat guests and BodySpace members. Wellness retreat packages include lunch/afternoon tea here.
4. Mandarin Bar — cocktails and light dining.
Spa relaxation area: complimentary healthy snacks, fresh fruit, energy balls, dried fruit, nuts, herbal teas and mint water available in the Zen relaxation zone.
BodySpace wellness retreats (priced from £400-£1,550) may include brunch at The Aubrey or healthy lunch at The Rosebery as part of the package.</t>
  </si>
  <si>
    <t>None</t>
  </si>
  <si>
    <t>Approximately 15-20 wellness practitioners across BodySpace coaching team and spa therapists. No medical doctors on-site. Key named practitioners:
BodySpace Leadership:
• Stephen Price — Co-Founder, wellness consultant (20+ years), SP&amp;Co founder. Background in luxury hotel wellness consulting, medical wellness, oncology support. Created Movementum concept and Firstbeat HRV monitoring programme.
• David Higgins — Co-Founder, celebrity fitness trainer. Co-created Ten Pilates and Bootcamp Pilates. Cast trainer for Kingsman film series (Fox Studios).
Spa Holistic Practitioners:
• Ersilia — Clinical Reflexologist (Level 5 Diploma, Association of Reflexologists)
• Francy Lema — Naturopath, Acupuncturist, Yoga Teacher (10+ years experience)
• Lauren Windas — Registered Nutritionist, Naturopath, Author, co-founder of ARDERE
• David — Medical Manual Therapist, medical acupuncturist (trained in Budapest)
• Shaylini — Reiki Master Teacher
• Leah — Certified Sound Therapist (gong, singing bowls)
BodySpace Coaching Team: personal trainers, swim coaches, Pilates instructors, yoga teachers, EMS coaches, physiotherapists. Exact count not published.</t>
  </si>
  <si>
    <t>BodySpace itself operates as a partnership/concession within the hotel's existing spa — the capex for BodySpace-specific elements (Movementum Studio, Hyperice recovery area, EMS equipment, Firstbeat monitoring devices) is relatively modest compared to building standalone wellness facilities.
The underlying hotel renovation (2017-2019) was described as a "multi-million-pound" project encompassing all 181 rooms/suites, public areas, spa, restaurants, and event spaces. The spa redesign by Adam D. Tihany included 13 treatment rooms, the Oriental Suite, Rasul temple, pool, gym, and thermal facilities. Comparable London five-star hotel renovations suggest £50-100M+ range for the full hotel project.
The BodySpace partnership investment is negligible relative to the hotel's total renovation — primarily operational (staff, technology, branding) rather than capital-intensive.</t>
  </si>
  <si>
    <t>BodySpace Intensive Optimisation Programmes:
1. 6-Week Optimisation Programme — £3,240:
• One lifestyle performance profile assessment
• One body and movement analysis
• One nutritional consultation and follow-up
• 60-day nutrition plan + 30-day personalised supplement plan
• 10 Lifestyle Performance coaching multi-use credits (in-person or online)
• Two recovery compression treatments
• One Bodyspace lifestyle performance spa treatment
• One assessment with the programme director
2. 12-Week Optimisation Programme — £5,940:
• Same assessments and plans as 6-week
• 20 Lifestyle Performance coaching multi-use credits
• Two assessments with the programme director
Additional Spa Wellness Retreats (half-day to full-day):
3. Indulgent Escape Urban Ritual (4 hrs) — £695
4. Tea and Therapy (2-2.5 hrs) — £430-£580
5. Detox &amp; Renew Body Ritual (1.5 hrs) — £570
6. Male Self Care (2.5 hrs) — £435
7. Harmony Within (2.5 hrs) — £630
8. Mind &amp; Body Reset (3 hrs) — £905
[NOTE: these are not residential multi-day programmes like SHA or Lanserhof. The BodySpace programmes are either coaching packages (6/12 weeks, non-residential) or single-day/half-day spa retreats.]</t>
  </si>
  <si>
    <t>Comprehensive spa treatment menu (~40+ treatments, prices in GBP):
SIGNATURE THERAPIES:
• Time Rituals™ (bespoke): 2hrs £380, 3hrs £540
• Oriental Harmony (2hrs): £525
• Oriental Qi (1.5hrs): £305
• Acupuncture (1hr): £230
• Manual Lymphatic Drainage (1.5hrs): £350
• Naturopath Consultation (1hr): £250
FACIALS:
• Biologique Recherche Remodelling Face (1.5hrs): £390
• OSKIA Sub-Zero Cryotherapy Facial (1.5hrs): £360
• OSKIA Signature Facial (1.5hrs): £290
• Skin Instant® Lab (30m): £85
BODY TREATMENTS &amp; MASSAGE:
• Therapeutic Massage (1.5hrs): £305
• Circadian-Syncing Deep Sleep (1.5hrs): £295
• Rose Indulgence Maternity Massage (1.5hrs): £280
• Body Scrub (30m): £140
BASTIEN GONZALEZ PEDI:MANI:CURE:
• Bastien Duo (1hr 15m): £250
• Bastien Pedicure (1hr): £175
• Bastien Manicure (1hr): £145
BODYSPACE COACHING:
• Personal Training/Coaching: £180/session (1 credit)
• In-Room Coaching: £250/hr
• EMS Training: £250/hr
• Swimming Stroke Analysis &amp; Coaching: credit-based</t>
  </si>
  <si>
    <t>One primary membership tier at Mandarin Oriental Hyde Park:
12-Month Bodyspace Club Membership:
• Annual fee: £3,950 (~$4,977)
• Joining fee: £750 (~$945) — one-off
• Total first year: £4,700 (~$5,922)
Access:
• Technogym gymnasium: 24/7
• 17-metre stainless-steel swimming pool: 6:30am-9:30pm
• Spa thermal facilities (sauna, steam room, vitality pool): 9am-9pm
Fitness Benefits:
• One-to-one coaching session (including orientation)
• One swimming stroke analysis
• Ten Movementum classes
Guest Passes: Three complimentary
Discounts:
• 15% off all spa treatments
• 10% off spa and wellness retail
• 10% off dining at The Rosebery, Mandarin Bar, and Dinner by Heston Blumenthal
• 50% off valet parking when using gym
[COMMENT: compared to Lanserhof at The Arts Club (5 tiers, £3,200 + £1,600 joining, includes extensive onboarding assessments, GP consultation, MSK assessment, PT session, cryo, infusion, 3D body scan, £2,500 service credit), the BodySpace membership offers fewer included services for a comparable price.]</t>
  </si>
  <si>
    <t>On-site retail and product offerings:
1. Biologique Recherche skincare — French clinical skincare brand, used in treatments and available for purchase.
2. OSKIA — British natural skincare brand, used in facials and body treatments.
3. Clinique La Prairie Holistic Health Supplements — longevity supplements prescribed following nutritional consultation.
4. Aromatherapy Associates products.
5. Mandarin Oriental bespoke signature products and oils.
6. Movementum professional spa product range — body care for movement, recovery, regeneration.
Members receive 10% off spa and wellness retail. Dedicated retail area within the spa.</t>
  </si>
  <si>
    <t>Strong room-rate integration — The Spa at Mandarin Oriental Hyde Park is a core amenity of the hotel and a significant driver of guest satisfaction and premium room rates.
• Hotel guests have complimentary access to the swimming pool, fitness centre, and thermal facilities.
• Spa treatments, BodySpace coaching, and wellness retreats available at published rates.
• Residential wellness retreats combine overnight stay with personalised spa programmes.
• Room rates from ~£695/night (entry level).
• The spa/wellness offering is integral to the hotel's luxury positioning and directly supports premium ADR.</t>
  </si>
  <si>
    <t>1. BodySpace joining fee: £750 (one-off).
2. Multi-use credits: £180/credit (bulk discounts: 10 for £1,700; 25 for £4,125; 50 for £7,750).
3. In-room coaching: £250/hr (premium over standard £180/credit).
4. EMS training: £250/hr.
5. Guest passes: 3 included in membership; additional on request.
6. Valet parking: 50% off for gym use; full rate otherwise.
7. Clinique La Prairie supplements: priced per prescription.
8. Wellness retreats: £400-£1,550 (packages, not à la carte).</t>
  </si>
  <si>
    <t>A boutique operator can leverage hotel-group scale through partnerships rather than owned real estate.</t>
  </si>
  <si>
    <t>Good city-hotel wellness density, but still secondary to the host hotel ecosystem.</t>
  </si>
  <si>
    <t>Low-capex layering: membership, coaching and partner services lift yield from existing spa space.</t>
  </si>
  <si>
    <t>Premium performance layer inside a hotel spa: commercially smart and low-capex, but too light clinically for serious longevity.</t>
  </si>
  <si>
    <t>Lefay Resort &amp; SPA Dolomiti</t>
  </si>
  <si>
    <t>Lefay Resorts &amp; Residences</t>
  </si>
  <si>
    <t>Pinzolo (Trentino), Italy</t>
  </si>
  <si>
    <t>Integrative Healing</t>
  </si>
  <si>
    <t>HNW, Affluent Wellness</t>
  </si>
  <si>
    <t>Lefay Resort &amp; SPA Dolomiti is a luxury wellness resort located in Pinzolo within the Madonna di Campiglio ski area of the Italian Dolomites, opened in 2019 as the second property in the Lefay Resorts &amp; Residences collection. Founded by Alcide and Liliana Leali, the brand combines high-end wellness hospitality with strong environmental sustainability principles.
The resort features 88 suites, branded wellness residences, and a 5,000 sqm spa, one of the largest in the Alpine region. Wellness programming is built around the Lefay SPA Method, which integrates Classical Chinese Medicine concepts with Western scientific approaches, delivered through energy-based treatments, medical aesthetics, physiotherapy, and multi-day wellness programmes.
Positioned as a luxury alpine wellness retreat, Lefay Dolomiti targets wellness-focused leisure travellers seeking immersive spa experiences within a nature-driven, eco-conscious resort setting.</t>
  </si>
  <si>
    <t>Over 20 treatment rooms plus 2 Private SPAs for couples (Lefay meeting factsheet, 2024):
• Treatment rooms for Lefay SPA Signature energy massages, face and body aesthetic rituals, and energy-therapeutic path treatments
• Non-invasive aesthetic medicine rooms (HydraFacial MD, Observ 320, Indiba radio-frequency, VelaShape, Intraceuticals Oxygen Therapy, ZO Skin Health)
• Physiotherapy and osteopathy rooms (massophysiotherapy, myofascial release, craniosacral therapy, postural evaluation)
• Beauty area with coiffeur service (La Biosthetique)
• 2 Private SPAs for couples: "Amongst the Forest" and "The Chalet" — each with private sauna, treatment area, and relaxation space for rituals up to 2.5 hours
• "Nuvola" floating tub for mud therapy
• Hydro-aromatherapy rooms</t>
  </si>
  <si>
    <t xml:space="preserve">Diagnostics &amp; Imaging (0)
No confirmed clinical diagnostic or imaging platforms (e.g., MRI, ultrasound, ECG, DEXA) installed on-site. 
Labs &amp; Advanced Testing — Physical Infrastructure (0)
No on-site laboratory or phlebotomy infrastructure documented; consultations within programmes are holistic/TCM-based rather than laboratory diagnostics. 
IV / Infusion Infrastructure (0)
No IV suites, infusion chairs, or infusion delivery systems confirmed at the Dolomiti property. 
Longevity Tech / Biohacking (0)
No installed biohacking platforms (e.g., cryotherapy chambers, PEMF, red-light therapy). Cold exposure is delivered through spa features such as an ice pool and ice waterfall rather than dedicated equipment. 
Medical Aesthetics — Capital Device Platforms (5)
Observ® 320 LED skin imaging system; HydraFacial MD hydradermabrasion platform; Intraceuticals oxygen infusion system; Indiba Active radiofrequency therapy device; VelaShape body-contouring platform (infrared + RF + vacuum technology). 
Specialist Movement / Performance Testing (0)
No VO₂ testing systems, gait analysis platforms, force plates, or clinical biomechanical testing equipment documented; the Technogym gym supports general fitness rather than diagnostic testing. </t>
  </si>
  <si>
    <t>Room-led, Treatment-led, Programme-led</t>
  </si>
  <si>
    <t>Two dedicated restaurants, plus bars and lounges:
1. Dolomia Restaurant — main restaurant offering buffet breakfast, à la carte lunch and dinner. Local/Mediterranean/seasonal cuisine. Smart casual dress code. Open daily for lunch; dinner on seasonal basis.
2. Grual Organic Restaurant — Michelin-starred (1 star, awarded November 2024). Named after the mountain behind the resort. Organic ingredients from Trentino-Alto Adige. Tasting menu and à la carte dinner. Smart elegant dress code. No children under 12. Open for dinner daily except Tuesday and Wednesday.
3. Lounge Bar — cocktails with views of Pinzolo town.
4. Sky Lounge — drinks and mountain views with fireplace.
5. Cigar Lounge — cigars and spirits.
6. 24-hour Room Service with dedicated menu.
Lefay SPA "Being Health" menu available for programme guests — dishes rich in probiotics, low-calorie, low-sodium, with detoxifying properties and gentle cooking methods. Dietary patterns suggested by the doctor based on energy constitution and microbiota development.</t>
  </si>
  <si>
    <t>The exact number of specialist practitioners at Lefay Resort &amp; SPA Dolomiti is not publicly disclosed. The resort employs ~155 total staff across all departments, but no detailed breakdown of spa, medical, or therapeutic roles is published. 
Pasted text
The clinical framework is guided by the Lefay SPA Method Scientific Committee, a visiting group of physicians and integrative medicine specialists rather than permanent on-site doctors. Named members include Dr Carlo Barbieri (President; acupuncture and integrative medicine), Dr Stefania Doria (psychiatry, psychotherapy, and acupuncture), and Dr Andrea Armellini (pediatric surgery and Classical Chinese Medicine). These experts support the brand’s methodology and may consult across properties rather than residing on site.
Operationally, the spa is led by Fabrizio Castellani (Lefay SPA Manager) and Monica Mescoli (Lefay SPA Method Manager and naturopath). Day-to-day treatments are delivered by a multidisciplinary wellness team including physiotherapists, osteopaths, massage therapists (Eastern and Western modalities), aesthetic medicine technicians, fitness trainers, yoga and Qi Gong instructors, and mountain guides.
Summary:
Total resort staff: ~155
Named visiting physicians (Scientific Committee): 3+
Operational wellness practitioners: multidisciplinary team (exact count not published).</t>
  </si>
  <si>
    <t>Purpose-built luxury eco-spa resort constructed 2017-2019 by architect Hugo Demetz (bio-architecture exterior) and Alberto Apostoli (interiors). Nine-level structure set into the mountainside using traditional materials (wood, stone) with advanced energy/water management systems. ClimaHotel certified.
Total investment not officially disclosed. Using Italian hospitality benchmarks for luxury greenfield resort construction (~€161,000/key or ~€2,311/sqm per Horwath HTL 2020), an 88-suite resort with 5,000 sqm spa and 21 residences would suggest a total investment in the range of €50-80M+, depending on residence component.
Alcide Leali (MD) stated: "We don't build hotels — we build spa hotels. Spa is always at the core of our properties." The 5,000 sqm spa represents 50 sqm of spa per key — deliberately oversized for long-term market leadership (CLADglobal, Jul 2019).</t>
  </si>
  <si>
    <t>Lefay SPA Method Programmes (excl. accommodation):
1. Active &amp; Balance — 5 nights (€2,590): full board with Lefay SPA Menu, welcome body scrub, medical examination with acupuncture, fitness consultation, phytotherapy, 5 themed days (Green Dragon, Red Phoenix, White Tiger, Black Tortoise, Centre) with outdoor activities + spa treatments + energy balancing activities. Final examination.
2. Active &amp; Balance Short — 3 nights (€1,090): condensed version with 2 themed days, fitness consultation, phytotherapy, final examination.
3. Discovery Health Programme (€410): initial energy examination, moxibustion/cupping, energy massage or acupuncture, postural gymnastics, salt-water pool session, phytotherapy.
4. Harmony Health Programme (€310): initial exam, energy massage, acupuncture session, postural gymnastics, phytotherapy.
Wellness &amp; Beauty Packages (excl. accommodation):
5. Dolomiti Rejuvenate (min 2 nights, €650): 4 treatments
6. Dolomiti Purifying (min 3 nights, €600): 5 treatments
7. Wellness for Him (€420): 5 treatments
8. Ayurveda (€370): 2 treatments (Abhyanga + Shiro-Dara)
9. A Journey Around the World (€640): 5 treatments
10. Mind &amp; Body (€360): 5 treatments
11. Intensive Fitness (€540): 6 treatments
[NOTE: Lefay SPA Method medical programmes (with doctor examination and acupuncture) are available at Dolomiti periodically when the Scientific Committee visits. The 5-night Active &amp; Balance is the signature structured programme.]</t>
  </si>
  <si>
    <t>Comprehensive treatment menu (~80+ treatments, prices in EUR, MON-THU/FRI-SUN):
LEFAY SPA SIGNATURE ENERGY MASSAGES:
• Scambio nel Vento (Relaxing, 50 min): €125/€137
• La Quiete (Antistress, 65 min): €155/€170
• Il Volo della Farfalla (Four Hands, 50 min): €220/€240
• Dell'Imperatore (Body/Head, 80 min): €170/€185
ENERGY-THERAPEUTIC PATHS (CCM-based):
• Green Dragon/Red Phoenix: €285 each
• White Tiger: €320
• Black Tortoise: €330
NON-INVASIVE AESTHETIC MEDICINE:
• HydraFacial MD: €220-€320
• Indiba radio-frequency: €70-€190
• VelaShape: €145-€235
• Intraceuticals Oxygen Therapy: €210/€235
• ZO Skin Health treatments: €180/€197
PHYSIOTHERAPY &amp; OSTEOPATHY:
• Massophysiotherapy: €110/€120
• Osteopathic manipulation: €120/€130
• Craniosacral therapy (50 min): €140/€150
EASTERN TRADITIONS:
• Shiatsu (65 min): €135/€150
• Abhyanga (80 min): €180/€190
• Shiro-Dara with Abhyanga (110 min): €230/€250
• Thai (60 min): €135/€149
COUPLES PRIVATE SPA:
• Full rituals (2.5 hrs): €540-€610
• BIO rituals (1.5 hrs): €420-€450
Weekend/holiday pricing ~10% above weekday rates.</t>
  </si>
  <si>
    <t>No proprietary Lefay membership programme. The resort participates in the Preferred Hotels &amp; Resorts "I Prefer" loyalty programme, offering benefits including early check-in, late check-out, room upgrade subject to availability, and points earning on stays. No dedicated spa or wellness membership available.</t>
  </si>
  <si>
    <t>On-site retail via Lefay SPA Shop (also available online at lefayshop.com):
1. Lefay SPA "Tra Suoni e Colori" cosmetic line — proprietary natural dermatological cosmetics (face and body products). Nickel-tested, dermatologically tested. Vegan ICEA and Cruelty Free certified. Cosmos Organic certified for the oil line. Products enriched with alpine ingredients (pine, juniper, horse chestnut, alpine salt, mountain minerals). Used in all spa treatments.
2. Lefay wellness accessories — spa bags, bathrobes.
3. Herbal infusions — Lefay SPA Method organic phytotherapy teas (designed by Scientific Committee combining CCM principles with Western herbal research).
4. Home fragrances — pillow sprays (€45), diffusers, candles.
5. ZO Skin Health products — medical-grade skincare by Dr Obagi, available at the spa.
6. La Biosthetique — professional hair care products.</t>
  </si>
  <si>
    <t>Full room-rate integration — the spa is the core of the resort proposition, not an amenity.
• All hotel guests have complimentary access to the 5,000 sqm Lefay SPA World including pools, saunas, fitness centre, relaxation areas, and group classes.
• Salt-water lake "L'Aurora nel Lago" requires separate reservation and fee (€50-55/person).
• Spa treatments, programmes, and aesthetic medicine services at published rates.
• Alcide Leali (MD): "We don't build hotels — we build spa hotels. Spa is always at the core of our properties."
• 50 sqm of spa per key — deliberately oversized to ensure wellness is central.
• Room rates from ~€430/night (Prestige Junior Suite) to significantly higher for Royal Pool &amp; SPA Suite (315-430 sqm with private wellness area).
• Residence owners access all resort spa and F&amp;B services.</t>
  </si>
  <si>
    <t>1. Salt-Water Lake "L'Aurora nel Lago": €50-55/person (40 min), €90-99/couple.
2. Weekend/holiday spa surcharge: ~10% above weekday treatment prices.
3. Personal trainer: €90-110 (40-50 min).
4. Pet fee: €50/day/dog (max 12kg, select suites only).
5. Late check-out (2pm): €300 (Expedia).
6. Residences available for purchase (21 units, prices on application) with rental programme.
7. Lefay SPA cosmetic products: available for retail purchase on-site and online.
8. Grual tasting menu: pricing on request (Michelin-starred).</t>
  </si>
  <si>
    <t>Selective resort growth can still build a credible brand if execution and positioning stay consistent.</t>
  </si>
  <si>
    <t>Oversized spa-to-key ratio signals wellness leads the guest proposition, not the room count.</t>
  </si>
  <si>
    <t>Conservative layering through residences, retail and a small portfolio - not aggressive format spread.</t>
  </si>
  <si>
    <t>Spa-first integrative destination with strong design and sustainability, but lighter clinically than the medical leaders.</t>
  </si>
  <si>
    <t>Urban Hub-led</t>
  </si>
  <si>
    <t>Next Health, West Hollywood (Los Angeles, CA, USA)</t>
  </si>
  <si>
    <t>Next Health Inc.</t>
  </si>
  <si>
    <t>Local — Standalone</t>
  </si>
  <si>
    <t>West Hollywood, Los Angeles, California, USA</t>
  </si>
  <si>
    <t>Performance / Biohacker</t>
  </si>
  <si>
    <t>High Performance / Biohacker, Affluent Wellness</t>
  </si>
  <si>
    <t>2016</t>
  </si>
  <si>
    <t>Next Health is a health optimisation and longevity clinic founded in 2016 by surgeon Dr. Darshan Shah and entrepreneur Kevin Peake, positioned around data-driven, preventative health and technology-led therapies. The original flagship is located on Sunset Boulevard in West Hollywood, within a mixed-use wellness and lifestyle campus on the Sunset Strip.
The clinic operates a membership-led, à-la-carte model, combining diagnostics, longevity therapies, regenerative treatments, and aesthetics within a hospitality-style clinical environment. Clients typically build personalised health protocols through repeat visits rather than structured residential programmes.
Next Health has since expanded into a rapidly growing franchise network, with dozens of locations across the United States and international expansion beginning with Dubai, positioning the brand as a scalable urban longevity clinic concept.</t>
  </si>
  <si>
    <t>High Performance, Individual Wellness</t>
  </si>
  <si>
    <t>The ~10,000 sq ft flagship facility contains an estimated 13–18 treatment spaces, based on multiple sources (tour videos, franchise documents, reviews, and service listings).
Breakdown (estimated):
Wellness technology rooms: 4–6
(cryotherapy chamber, hyperbaric oxygen chamber(s), infrared sauna room(s), red-light therapy room)
IV / infusion areas: 3–4
(1 IV lounge with ~6–8 chairs + 2–3 private infusion/NAD+ rooms)
Clinical / medical rooms: 3–4
(blood draw/lab station, EBOO ozone therapy room, therapeutic plasma exchange room, consultation/exam room(s))
Aesthetic treatment rooms: 2–3
(for injectables, PRP, Morpheus8, lasers, peels)
Front-of-house: 1+
(reception/lobby/retail)
Total estimated treatment spaces: ~13–18.</t>
  </si>
  <si>
    <t>Diagnostics &amp; imaging: 2
(InBody body composition analyser; VISIA facial skin analysis system)
Labs &amp; testing: 1
(On-site blood draw / phlebotomy station; samples processed off-site)
Regenerative / blood therapy infrastructure: 2
(EBOO extracorporeal blood oxygenation system; therapeutic plasma exchange centrifuge)
IV / infusion infrastructure: 3
(IV therapy lounge, private infusion rooms, NuCalm neuroacoustic system)
Longevity / biohacking technology: 4
(whole-body cryotherapy chamber, hyperbaric oxygen chamber, infrared LED light bed, infrared sauna capsule)
Medical aesthetics equipment: 3
(Morpheus8 RF microneedling, Venus Smooth RF tightening device, Sciton laser platform)
Total facility / equipment items: 15.</t>
  </si>
  <si>
    <t>Operates a hybrid model: core longevity treatments are delivered in-house, while advanced diagnostics rely on external partners.
Imaging: Full-Body MRI likely conducted via Prenuvo; CT scans (chest, calcium score) referred to external imaging centres.
Laboratory testing: Blood drawn on-site but processed by external reference laboratories (e.g., large biomarker panels, genetic and cancer tests).
Specialist care: Any diagnosed conditions are referred to external physicians for follow-up treatment.
Overall: self-contained for wellness/biotech therapies, but outsources imaging and lab diagnostics.</t>
  </si>
  <si>
    <t>Membership-led, Programme-led, Treatment-led</t>
  </si>
  <si>
    <t>Next Health does not operate any food and beverage concept. The clinic is a pure treatment and technology centre with no restaurant, juice bar, café, or food service.
Adjacent F&amp;B options at The Sunset complex and Sunset Strip (not operated by Next Health):
• Sweetgreen — adjacent tenant at The Sunset
• Sunlife Organics — nearby on Sunset Strip
• Multiple restaurants in Sunset Plaza
[NOTE: The absence of F&amp;B is consistent with the lean franchise model — a 2,500-3,500 sq ft clinic has no space for food preparation. This differentiates Next Health from destination wellness operators (SHA, Lanserhof, Lefay) where nutrition is integral to the programme. For a biohacker clinic focused on treatment throughput, the absence is appropriate. Weight optimization programmes rely on peptide therapy and coaching rather than on-site nutrition.]</t>
  </si>
  <si>
    <t>The West Hollywood flagship (~10,000 sq ft) is estimated to operate with 10–15 (COO Scott Svilich quoted as saying for each location) specialist clinical and wellness staff, higher than standard franchise units due to its broader services (e.g., TPE, advanced aesthetics, large IV lounge).
Doctors — 1–2
Dr. Anna Emanuel (MD) — Confirmed Medical Director for the LA locations (West Hollywood, Century City, Studio City), providing consultations and clinical oversight across the sites.
Recruitment listings for additional physician coverage in Los Angeles suggest a second supporting physician role.
Founder Dr. Darshan Shah (MD) created the clinical protocols but is not counted as an on-site practitioner.
Other Licensed Medical Practitioners — ~6–9
Functional medicine nurse practitioners: 1–2 (consultations, treatment plans).
Registered nurses (IV / infusion): 3–4 (required for the multi-chair IV lounge and NAD+ rooms).
TPE / plasmapheresis specialist RN: 1 (operates plasma exchange equipment).
Aesthetic RN(s): 1–2 (injectables, Morpheus8, microneedling).
Clinical &amp; Wellness Support — ~3–5
Phlebotomy technician: 1 (blood draws for biomarker panels).
Wellness director / health coach: 1 (programme oversight and patient planning).
Wellness technicians (“health hackers”): 2–3 (operate cryotherapy, HBOT, infrared tech).</t>
  </si>
  <si>
    <t>Urban conversion</t>
  </si>
  <si>
    <t>Next Health Franchise Initial Investment (per 2025 FDD):
• Total initial investment: $1,690,200 - $2,259,200
• Initial franchise fee: $80,000
• Multi-unit development fee: $90,000-$120,000 (for 3-6 centres)
• Build-out and equipment within the investment range
Key Equipment Costs (estimated, typical for format):
• Cryotherapy chamber: ~$40,000-60,000
• Hyperbaric oxygen chamber: ~$30,000-100,000
• Infrared sauna: ~$5,000-15,000
• Infrared LED light bed: ~$20,000-50,000
• TPE / apheresis equipment: ~$50,000-100,000
• EBOO ozone system: ~$20,000-40,000
• Morpheus8 device: ~$50,000-100,000
• BBL laser: ~$80,000-150,000
• InBody scan: ~$10,000-15,000
• VISIA scan: ~$15,000-25,000
• IV equipment and medical supplies: ~$20,000-40,000
• Retail/shop fit-out and furnishings: included in build-out
Franchise Financial Performance (2025 FDD):
• Average mature location annual revenue: $4,008,240
• Top location annual revenue: $5,702,729
• Average EBITDA: 16% (~$641,000)
The West Hollywood flagship is corporate-owned and was relocated to the current space in 2019. As the original and flagship location, its build-out may exceed typical franchise investment. The franchise model is asset-light relative to destination wellness operators — a retail suite conversion vs. purpose-built resort or hospital.
The Sunset building (8560-8590 Sunset Blvd) is owned by Kilroy Realty Corporation, acquired as part of a portfolio for $210 million in 2017 (CoStar).</t>
  </si>
  <si>
    <t>Next Health does not offer fixed multi-day residential programmes. Instead, it operates a membership + à-la-carte model, where clients build personalised health protocols through recurring visits.
Structured Offerings
1. Executive Physical ($14,500–$15,995 — 1-year programme)
Comprehensive diagnostic programme including Full-Body MRI, Chest CT, 500+ biomarker testing, and 1:1 physician consultations with ongoing monitoring over 12 months.
2. Weight Optimisation Programme (price via consultation)
Ongoing protocol combining GLP-1 medications (e.g., semaglutide/tirzepatide), nutrition guidance, habit coaching, and biomarker monitoring. Requires Medicine 4.0 membership ($99/mo).
3. Hormone Optimisation (BHRT) (price via consultation)
Bioidentical hormone replacement therapy tailored to lab results, with ongoing monitoring and protocol adjustments. Requires Medicine 4.0 membership ($99/mo).
Summary: Next Health’s model is designed for urban, high-frequency wellness use, where members combine diagnostics, medical optimisation, and longevity therapies over time rather than attending structured multi-day retreats (as seen at destinations like SHA or Lanserhof).</t>
  </si>
  <si>
    <t>VITAMIN SHOTS ($49 each, 5-10 min):
• Super B, Lean B (Metabolism), CoQ10 (Heart/Energy), Brain B, Beauty B, Vitamin D, Limitless (NAD+ blend), Glutathione
IV THERAPY (30-60 min):
• Hydration ($99), Targeted Drips ($199): Super Immune, Longevity, Hangover, Stress, Glamour, Detox, Muscle, Weight Loss, Energy Plus, Brain, Gut Health, Lean
• Plaquex ($300), High-Dose Vitamin C ($300-$375)
NAD+ THERAPY (2-3 hrs):
• NAD+ 300mg ($500), 750mg ($1,000), Niagen 500mg-1,000mg ($1,200-$2,000)
WELLNESS TECHNOLOGY:
• Cryotherapy ($50/3 min), Infrared Sauna ($100/30-45 min), InBody ($100/15 min), VISIA ($100/15 min), Infrared LED Bed ($150/20-40 min), HBOT ($350/60 min)
ADVANCED MEDICAL:
• Ozone ($1,099), EBOO ($1,499), TPE ($10,000), Executive Physical ($14,500/year), Stem Cells/Exosomes (varies)
DIAGNOSTICS:
• Baseline Test ($349/50+ biomarkers), Galleri Cancer Test ($1,185/50+ cancers), Total Wellness ($2,575/500+ biomarkers), At-Home Kits (Gut $499, DUTCH Hormones $750+)
HORMONE &amp; PEPTIDE OPTIMIZATION (Medicine 4.0 required):
• BHRT (Bioidentical Hormone Replacement), Peptide Therapy (BPC-157, CJC-1295, etc.), Weight Optimization (Semaglutide/Tirzepatide + coaching)
AESTHETICS (consultation-based):
• Wrinkle Relaxers: Botox, Dysport, Xeomin
• Fillers: Juvederm, Restylane, SKINVIVE
• Morpheus8 (microneedling + RF)
• PRP Facial, PRP Hair Restoration, PRP Microneedling
• AnteAGE Stem Cell Microneedling
• Forever Young BBL (laser)
• Microlaser Peel
• ViPeel (chemical peel)
• Venus Smooth (RF skin tightening)
• Laser Hair Removal
Sources: next-health.com (all service category pages), West Hollywood location page.</t>
  </si>
  <si>
    <t>Next Health offers 6 membership tiers:
1. MEDICINE 4.0 ($99/month):
   Foundational tier. Quarterly biomarker/functional testing, 1:1 consultations with medical providers, access to prescribed peptides and hormones (BHRT, weight optimization), exclusive member pricing on all services.
2. OPTIMIZE ($199/month):
   1 Vitamin Shot per month, 10 Next|Tech Credits (Cryo=1, Infrared Sauna=2, LED Bed=3, HBOT=7), exclusive member pricing.
3. PREMIER ($299/month — most popular):
   2 IV Therapy sessions per month, 2 Vitamin Shots per month, 10 Next|Tech Credits, exclusive member pricing.
4. OPTIMIZE 4.0 ($299/month):
   Combines Medicine 4.0 benefits (quarterly testing, consultations, peptide/hormone access) with Optimize benefits (1 shot, 10 tech credits).
5. PREMIER 4.0 ($399/month):
   Combines Medicine 4.0 benefits with Premier benefits (2 IVs, 2 shots, 10 tech credits). The most comprehensive standard membership.
6. PLATINUM ($100,000/year — application only):
   Ultra-exclusive tier. Quarterly Therapeutic Plasma Exchange (TPE) with Stem Cells/Exosomes, Annual Executive Physical (Full Body MRI, CT, 500+ biomarkers), unlimited IV Therapy and wellness technology access.
TECH CREDIT VALUES:
• Cryotherapy: 1 credit | Infrared Sauna: 2 credits | Infrared LED Bed: 3 credits | HBOT: 7 credits
FOUNDING MEMBER OFFERS:
New locations offer 20%-50% off monthly rates for the first ~100 "Founding Members."
CONTRACT: Monthly recurring; 14-day refund policy on items. Specific cancellation terms not publicly published (industry standard: 30-day notice).
Sources: next-health.com/become-a-member, next-health.com/platinum-membership.</t>
  </si>
  <si>
    <t>Not disclosed (founding member offers at new locations include 20-50% monthly discounts)</t>
  </si>
  <si>
    <t>Next Health operates a dedicated e-commerce retail platform at NextHealthShop.com with 29 products:
SUPPLEMENTS &amp; BUNDLES:
• Blood Pressure Bundle: $199.99 (was $239.95)
• Blood Sugar Bundle: $109.99 (was $124.98)
• Detox Bundle: $99.99 (was $114.97)
• Glutathione Antioxidant Boost: $250.00 (was $299.99)
• Gut Bundle: $179.99
• Immune Max Bundle: $749.99
• Inflammation Bundle: $239.99 (was $279.95)
• Next Fat Burn Packs: $135.00
• Next Immune Complete Packs: $135.00
• Next Liver Cleanse Packs: $135.00
SKINCARE:
• Reluma Skin Care System: $635.00
NOVELTY:
• Next Level Gum (8 pieces): $9.99
AT-HOME TESTS (sold online, results reviewed by providers):
• Food Sensitivity Test 132: $799.00
• Food Sensitivity Test 22: $349.00
• Galleri Multi-Cancer Early Detection Test: $1,995.00
• Micronutrient Test: $795.00
• Choose Health Blood Test: $249.00
• Snap Sleep Study: $995.00
• TruAge Aging Metric Analysis: $995.00
SERVICE PACKAGES (sold online):
• Next Health Rejuvenation Package (Glutathione + HBOT + IV): $720.00
• Hyperbaric Oxygen Therapy: $350.00
• IV Vitamin Therapy: $350.00
• Phone Consultation with Dr. Habib: $200.00
MEMBERSHIPS (initial consult only, $200 each):
• Anti-Aging, Elite Health, Ultra Health, Gold Executive Physical, Platinum Executive Physical, Nutrition and Exercise ($399 first month)
ASSOCIATED BRAND — IM8 Health (co-founded by Dr. Darshan Shah and David Beckham):
• Daily Ultimate Essentials Pro: from $78/month
• Daily Ultimate Longevity: from $104/month
• The Beckham Stack (both products): from $157/month (40% off)
• NSF Certified for Sport, 700,000+ customers, sold at Erewhon
• Separate entity (im8health.com) but closely associated with Dr. Shah / Next Health brand
[NOTE: The retail operation is more developed than most competitors in this matrix. The combination of a 29-SKU e-commerce shop, at-home testing kits, and the IM8 Health supplement brand gives Next Health a significant retail/product revenue stream beyond clinic services. The at-home testing model (Galleri $1,995, TruAge $995) creates a funnel from online to in-clinic care.]</t>
  </si>
  <si>
    <t>Not applicable — Next Health West Hollywood is a standalone urban clinic with no hotel component. There are no room rates, hotel packages, or accommodation tie-ins.
For context, Next Health does have a location at Atlantis Dubai (international expansion), but the West Hollywood flagship operates independently of any hotel.
[NOTE: The absence of hotel integration is inherent to the franchise model. Next Health targets lifestyle/retail centres rather than hotels. The model relies on membership recurring revenue and walk-in treatment volume rather than hotel guest capture.]</t>
  </si>
  <si>
    <t>1. Franchise Fee: $80,000 (initial; for new franchisees — not a consumer fee)
2. Multi-Unit Development Fee: $90,000-$120,000 (for 3-6 centres)
3. Total Initial Investment: $1,690,200-$2,259,200 (franchise)
4. Founding Member Discounts: 20%-50% off monthly membership at new locations
5. Tech Credit System: members allocate 10 credits/month across tech services at varying credit values (Cryo=1, Sauna=2, LED Bed=3, HBOT=7)
6. Non-Member Premium: non-members pay full price (e.g., IV $299 vs. member pricing)
7. Phone Consultation with Dr. Habib: $200 (via NextHealthShop.com)
8. Parking: 60 minutes validated at The Sunset parking structure (Alta Loma entrance)</t>
  </si>
  <si>
    <t>Urban longevity scales fastest through repeatable clinic units and a franchise-friendly operating model.</t>
  </si>
  <si>
    <t>No-room economics maximise wellness throughput, but sacrifice destination-style immersion and containment.</t>
  </si>
  <si>
    <t>Strong breadth across memberships, treatments and aesthetics, though positioning risks becoming diffuse.</t>
  </si>
  <si>
    <t>Scalable urban clinic network built on memberships and treatment frequency; commercially strong, but not destination wellness.</t>
  </si>
  <si>
    <t>Next Health Dubai (Business Bay, Dubai, UAE)</t>
  </si>
  <si>
    <t>Next Health Inc. / SAAS Health (UAE franchise)</t>
  </si>
  <si>
    <t>New / Opening Soon</t>
  </si>
  <si>
    <t>Dubai, United Arab Emirates</t>
  </si>
  <si>
    <t>High Performance / Biohacker, HNW</t>
  </si>
  <si>
    <t>2025</t>
  </si>
  <si>
    <t>Next Health Dubai is the brand’s first international longevity and health-optimisation centre, bringing the Los Angeles flagship concept to Business Bay. Founded by Dr Darshan Shah and Kevin Peake, the brand focuses on data-driven preventative health, combining diagnostics, biomarker analysis, and advanced therapies within a premium, membership-led clinic environment.
The Dubai location replicates the LA model as an urban longevity hub, where clients build personalised health programmes through ongoing visits rather than fixed residential stays. It serves as the brand’s regional showcase for Middle East expansion, operated with a local partner and tailored to Dubai’s luxury and executive wellness market.</t>
  </si>
  <si>
    <t xml:space="preserve">Not disclosed  </t>
  </si>
  <si>
    <t xml:space="preserve">Next Health Dubai does not publish a full floor plan, but based on its service menu and membership offerings the facility can be interpreted as containing ~12–15 clinical and treatment spaces organised across several functional zones. 
Consultation &amp; diagnostics (≈4–5 spaces)
Includes functional medicine consultation rooms, nutrition consultation, a phlebotomy/blood-draw station for biomarker testing, and diagnostic scanning stations such as body composition and AI skin analysis. 
IV therapy &amp; infusion (≈2–3 spaces)
A central IV therapy lounge with multiple chairs for drip treatments, supported by private infusion rooms used for longer therapies such as NAD+ sessions. 
Wellness technology / biohacking rooms (≈4 spaces)
Dedicated rooms or chambers for modalities such as cryotherapy, oxygen therapy, lymphatic/compression recovery, and a multi-technology biohacking chamber combining several wellness technologies in one unit. 
Aesthetic treatment rooms (≈2–3 spaces)
Private clinical rooms used for injectables, microneedling, PRP, and laser-based aesthetic treatments. 
Overall estimate:
~12–15 distinct treatment rooms or stations, consistent with what would fit within a ground-floor medical wellness clinic in a Business Bay tower and typical Dubai healthcare planning requirements. </t>
  </si>
  <si>
    <t>Diagnostics &amp; Imaging (3)
AI skin analysis scanner, body composition scanners (SmartBody / InBody) used for aesthetic and metabolic assessment.
Labs &amp; Advanced Testing (1)
On-site blood draw and biomarker testing infrastructure; laboratory analysis processed externally.
Regenerative / Cell Therapy (2)
Stem cell treatment suite and PRP centrifuge system for regenerative therapies.
IV / Infusion Infrastructure (2)
Dedicated IV therapy lounge plus private infusion rooms for longer treatments such as NAD+.
Longevity Tech / Biohacking (5)
Cryotherapy chamber, multi-technology cryo/biohacking system, lymphatic compression therapy, hyperbaric oxygen chamber, and infrared therapy platform.
Medical Aesthetics (5)
Morpheus8 RF microneedling, laser platform for resurfacing/IPL, microneedling device, HydraFacial system, and VISIA skin analysis scanner.
Specialist Movement / Performance Testing (0)
No VO₂ max, gait analysis, or performance diagnostics confirmed.
Total confirmed equipment / facility items: 18
External / Not On-Site:
Advanced imaging used in programmes (Full-Body MRI, CT scans) appears to be delivered through external radiology partners, while some technologies present in US Next Health locations (e.g., EBOO, TPE, NuCalm) are not confirmed for the Dubai facility.</t>
  </si>
  <si>
    <t>Next Health Dubai operates largely self-contained for core longevity and wellness services, but relies on unnamed external partners for certain specialised functions. These include advanced imaging (MRI and CT scans) referenced in programmes but not available on-site, as well as laboratory processing for biomarker, genetic, and diagnostic tests (with blood draws performed in-house). Launch materials also mention collaboration with local functional medicine practitioners, though no specific individuals or clinics are identified. Overall, external partnerships appear operational rather than branded or formally publicised.</t>
  </si>
  <si>
    <t>Next Health Dubai does not operate any food and beverage concept. The clinic is a pure treatment and technology centre with no restaurant, juice bar, café, or food service.
The Sonder Business Bay tower includes a restaurant and food outlets (per property listings), and Business Bay offers extensive external dining options including proximity to Dubai Mall (7 minutes drive, 200+ restaurants).
[NOTE: Absence of F&amp;B is consistent with the franchise model and the West Hollywood flagship. Weight Optimization programmes rely on peptide therapy and coaching rather than on-site nutrition — a fundamental difference from competitors like SHA, Lanserhof, Longevity, or Lefay where nutritional protocols are integral to the wellness offering.]</t>
  </si>
  <si>
    <t>Next Health Dubai has three identifiable clinical staff from public sources: two doctors — Dr. Aya Alsaiem (GP, dermatology &amp; aesthetics) and Dr. Syeda Irsa Maqbool (functional &amp; regenerative medicine) — plus one Head Nurse (Melissa Hachem). Several additional roles (functional medicine providers, clinical nutritionists, aesthetic doctors) are referenced in materials but no individuals are publicly named.
At brand level, the COO has stated that each Next Health location typically operates with ~10–15 clinical staff, suggesting the Dubai clinic likely has a larger medical team than publicly visible, but only 3 clinical practitioners can currently be confirmed by name.</t>
  </si>
  <si>
    <t>Collaborating with "renowned local practitioners" for functional medicine (per One Ville News, June 2025); specific names not disclosed</t>
  </si>
  <si>
    <t>Next Health Dubai Franchise Investment:
• US franchise model: total initial investment $1,690,200-$2,259,200 (per 2025 FDD)
• International franchise terms (Dubai) are not publicly disclosed and may differ from the US FDD figures due to import costs, local construction, DHA licensing, and market adaptation
• Franchise fee: $80,000 (US standard; international terms may vary)
• SAAS Healthcare signed a multi-unit agreement (June 2023), suggesting a development fee for multiple locations in the UAE/GCC
Key Equipment (estimated, consistent with US format):
• Cryotherapy chamber + Multi-Cryo system: ~$60,000-120,000
• Oxygen therapy system: ~$30,000-100,000
• Lymphatic flow system: ~$10,000-30,000
• IV lounge fit-out (phantom massage chairs, NuCalm, heated blankets): ~$50,000-100,000
• Morpheus8 device: ~$50,000-100,000
• Laser treatment systems: ~$80,000-150,000
• HydraFacial system: ~$20,000-35,000
• SmartBody + 3D skin scanner: ~$25,000-40,000
• Total estimated equipment: ~$400,000-700,000
• Build-out and fit-out: included in total franchise investment
SAAS Tower building context:
• 39-storey tower, 401 units, developed by SAAS Properties / Richreit Real Estate Development
• Originally Mövenpick Hotel &amp; Living, rebranded 2022 and converted to serviced apartments
• Shop 1 ground-floor retail unit — lease terms not disclosed
[NOTE: The shared "SAAS" branding (SAAS Healthcare, SAAS Properties, SAAS Tower) suggests the franchise partner may also be the building owner/developer, which would significantly reduce occupancy costs and align real estate and healthcare investment. This is a competitive advantage over competitors who must negotiate arm's-length lease terms.]</t>
  </si>
  <si>
    <t>Next Health Dubai does not offer fixed multi-day residential programmes. Instead, like the LA flagship, it operates a membership + à-la-carte model, where clients build personalised longevity protocols through recurring visits.
Structured Offerings
1. Executive Physical (AED 65,000 — ~1-year programme)
Comprehensive diagnostic and optimisation programme including full-body MRI, CT scans, DEXA, 500+ biomarker and genetic tests, plus ongoing functional medicine and nutrition consultations over 12 months. Designed as the clinic’s flagship longevity assessment and monitoring programme.
2. Weight Optimisation Programme (price via consultation)
Personalised metabolic optimisation protocol combining GLP-1 medications (e.g., semaglutide / tirzepatide), nutrition guidance, biomarker monitoring, body composition tracking, and ongoing provider check-ins.
3. Hormone Optimisation Programme (price via consultation)
Bioidentical hormone replacement therapy (BHRT) tailored to lab results, with regular testing and physician-led adjustments to restore hormonal balance.
Summary:
Next Health Dubai follows the same urban longevity model as the LA flagship: ongoing memberships combined with diagnostics, functional medicine, and technology-based therapies. Rather than fixed wellness retreats, clients attend regular clinic visits and build customised protocols over time.</t>
  </si>
  <si>
    <t>FUNCTIONAL MEDICINE:
• Initial Consultation (60 min): AED 1,000 / AED 800 members
• Follow-up Consultation: AED 600 / AED 480 members
• Covers: obesity, diabetes, hormonal imbalances, GI issues, autoimmune, preventive care
IV &amp; IM VITAMIN THERAPY:
• 12+ IV drip formulations: Super Immune, Energy Plus, Detox, Glamour (Hair/Skin/Nails), Longevity, Hangover, Stress, Muscle (Recovery), Weight Loss, Brain (Focus), Gut Health, Lean
• Vitamin Shots: Limitless (NAD+), Lean B, CoQ10, Brain B, Beauty B, Vitamin D, Glutathione, Super B
• HD Glutathione IV
NAD+ IV THERAPY:
• NAD+ 250mg and 500mg infusions (2-3 hours)
• Optimal Aging Trifecta: 3 infusions over 7 days
WELLNESS HUB (Next|Tech):
• Cryotherapy (1 Optim)
• Multi-Cryo — 7 integrated technologies in one session (2 Optims)
• Lymphatic Flow (2 Optims)
• Oxygen Therapy — 60 min (6 Optims) / 90 min (8 Optims)
• SmartBody Analysis (1 Optim)
• Skin Analysis (1 Optim)
NEXT BEAUTY AESTHETICS:
• Dermal Fillers (Juvederm, Restylane)
• Wrinkle Relaxers (Botox, Dysport)
• Morpheus8 (microneedling + RF)
• Microneedling with Hyaluronic Acid
• Collagen Biostimulators (Sculptra, Radiesse)
• PRP (facial, hair restoration)
• Exosomes (stem cell growth factors)
• HydraFacial
• Laser Treatments (skin resurfacing, IPL, pigmentation)
• Consultation: AED 600 (redeemable)
DIAGNOSTICS (Next Labs):
• Baseline Test (50+ biomarkers)
• Total Wellness (500+ biomarkers)
• Food Sensitivity Tests
• Micronutrient Test
• DNA Health Test
• 3x4 Genetic Blueprint
• TruAge Epigenetic Test
• PanTum Cancer Screening
• Wheat Zoomer
• Total Tox Burden Package
• AI-powered Smart Skin &amp; Body Analysis
ADVANCED MEDICAL:
• Stem Cell Therapy
• Exosome Therapy
• Ozone Therapy
HEALTH PROGRAMMES:
• Executive Physical (1-year, 1,000+ data points incl. MRI/CT/DEXA)
• Weight Optimization (Semaglutide/Tirzepatide + coaching)
• Hormone Optimization (BHRT)
NUTRITION:
• Nutrition Consultation: AED 600 / Follow-up: AED 400
Sources: nexthealth.ae (all service category pages).</t>
  </si>
  <si>
    <t>Next Health Dubai offers 5 membership tiers with a minimum 3-month commitment:
1. OPTIMIZE (AED 1,999/month, ~$545):
   SmartBody Analysis, Skin Analysis, Baseline Tests, 1 Monthly Vitamin Shot, 10 Monthly Optims. Up to 20% off select services.
2. PREMIUM (AED 2,999/month, ~$817):
   SmartBody Analysis, Skin Analysis, Baseline Tests, 2 Monthly Vitamin Shots, 2 Monthly IV Vitamin Therapies, 20 Monthly Optims. Up to 20% off.
3. GLOW (AED 3,999/month, ~$1,089):
   Aesthetics-focused. SmartBody &amp; Skin Analysis, Skin DNA Test, Monthly Glamour IV, Quarterly Skin Booster Injections, Quarterly Microneedling, Bi-monthly HydraFacial, Tri-annual Injectables (Botox, Filler, etc.), 20 Monthly Optims. Up to 20% off.
4. ELITE THRIVE (AED 4,999/month, ~$1,361):
   Longevity-focused. Functional Medicine &amp; Nutrition Consultations, DNA Health Test, Total Baseline Tests, Bi-monthly HydraFacial, 2 Vitamin Shots, 2 IV Therapies, 40 Monthly Optims. Up to 20% off.
5. EXECUTIVE PHYSICAL (Annual programme, price via consultation):
   1-year comprehensive programme with 1,000+ data points: Full Body MRI, Chest CT, CT Calcium Score, DEXA Scan, PanTum Cancer Screening, 500+ biomarkers, quarterly testing and physician meetings. 20% discount on second year.
OPTIMS CREDIT VALUES:
• 1 Optim: Cryotherapy, SmartBody Analysis, or Skin Analysis
• 2 Optims: Multi-Cryo or Lymphatic Flow
• 6 Optims: 60-minute Oxygen Therapy
• 8 Optims: 90-minute Oxygen Therapy
DUBAI vs. US COMPARISON:
• Dubai Optimize (AED 1,999 = ~$545) vs. US Optimize ($199) — 2.7x premium
• Dubai Elite Thrive (AED 4,999 = ~$1,361) vs. US Premier 4.0 ($399) — 3.4x premium
• Dubai tiers include "Glow" (aesthetics-focused) — not offered in the US menu
• Dubai uses "Optims"; US uses "Tech Credits" — equivalent concept
Sources: nexthealth.ae/become-a-member.</t>
  </si>
  <si>
    <t>Not disclosed (minimum 3-month commitment required)</t>
  </si>
  <si>
    <t>The Next Health Dubai website (nexthealth.ae) does not include a retail/shop section or list any products for sale. Unlike the US operation, which has NextHealthShop.com with 29 products (supplements, at-home test kits, Reluma Skin Care System), the Dubai location does not appear to have an established retail/product offering as of March 2026.
The IM8 Health supplement brand (co-founded by Dr. Darshan Shah and David Beckham; sold at Erewhon in the US) is not referenced on the Dubai website. IM8 products may become available at the Dubai location in the future but are not currently marketed there.
[NOTE: The absence of a retail arm in Dubai may reflect the franchise model — SAAS Healthcare may not have licensing or distribution rights for the US product range. This is a missed revenue opportunity compared to the US operation.]</t>
  </si>
  <si>
    <t>No room-rate integration exists between Next Health Dubai and Sonder Business Bay despite being co-located in the same tower (SAAS Tower). Next Health occupies Shop 1 (ground-floor retail unit) as an independent tenant.
Sonder Business Bay operates 401 serviced apartments (studios to 3-bedrooms) available for short and extended stays. Room rates vary seasonally. No published wellness + accommodation package combines a Sonder stay with Next Health services.
[NOTE: Given the shared "SAAS" branding (SAAS Healthcare, SAAS Properties, SAAS Tower), a room + wellness integration would be a natural development. The multi-unit franchise agreement suggests expansion to additional locations — future sites may include more deliberate hospitality integration. Currently, however, this is a standalone retail clinic model.]</t>
  </si>
  <si>
    <t>1. Minimum 3-month membership commitment required (all tiers)
2. Members receive up to 20% off: Stem Cells, Exosomes, Aesthetic Treatments, NAD+ IV, Lab Testing
3. Executive Physical: 20% discount on second-year membership renewal
4. Aesthetics Consultation: AED 600 (fully redeemable against same-day services)
5. Functional Medicine Consultation: AED 1,000 (redeemable against same-day programmes)
6. Nutrition Consultation: AED 600 (redeemable on same day)
7. Phone/contact: +971 4 292 0100 / info@nexthealth.ae</t>
  </si>
  <si>
    <t>Proves the US clinic model exports to Dubai and can command a regional price premium.</t>
  </si>
  <si>
    <t>Again a pure no-room clinic: utilisation and repeat visits matter more than space-to-key balance.</t>
  </si>
  <si>
    <t>Memberships and aesthetics broaden revenue, but the model remains frequency-led rather than journey-led.</t>
  </si>
  <si>
    <t>US clinic playbook translated to Dubai: data-led and premium-priced, with strong membership logic but limited programme depth.</t>
  </si>
  <si>
    <t>Next Health at Four Seasons Resort Maui (Wailea, HI, USA)</t>
  </si>
  <si>
    <t>Next Health Inc. / Four Seasons Resort Maui</t>
  </si>
  <si>
    <t>Maui, Hawaii, USA</t>
  </si>
  <si>
    <t>2021</t>
  </si>
  <si>
    <t>Next Health at Four Seasons Resort Maui at Wailea is a luxury wellness collaboration between Next Health and the beachfront resort, launched in 2021 following the reopening of Hawaii to international travel. The partnership brings Next Health’s longevity and health-optimisation services into a hospitality setting, offering guests access to medical-grade wellness treatments during their stay.
Services are delivered from a dedicated IV lounge and treatment suite within the resort, staffed by registered nurses and overseen by licensed medical providers. The offering focuses on IV therapies, regenerative medicine treatments, diagnostic testing, and complementary wellness services, allowing guests to integrate advanced health optimisation into a luxury resort experience.
Positioned as an embedded medical-wellness amenity rather than a standalone clinic, the programme caters primarily to high-end resort guests seeking preventative health, recovery, and longevity treatments during their visit to Maui.</t>
  </si>
  <si>
    <t>Opportunistic Hotel Guest, Individual Wellness</t>
  </si>
  <si>
    <t>The space is consistently described as a single “IV Lounge” rather than a multi-room clinical facility. Next Health’s own website refers to guests being “guided to our luxury IV lounge” in the Ali’i Room, and InsideHook describes the reporter “sitting in a plush leather chair, feet up, looking towards the Pacific Ocean”. The Four Seasons press release and Forbes coverage consistently refer to it as one unified space — a converted function room — not a suite of separate treatment rooms.
Based on the available descriptions, the facility appears to operate as a single open-plan lounge with multiple treatment chairs, rather than having partitioned clinical rooms. The staffing model — a nurse practitioner and a team of registered nurses  — and the service types (IV drips, vitamin shots, ozone therapy) are all compatible with a chair-based lounge setup, not exam-room-based care. Services like stem cell therapy and exosome therapy may use a more private setup within the same space, but no source references separate enclosed rooms.
If you need a precise room count for your Tulāh/Prasara project modelling, I’d recommend contacting Next Health directly (they take calls and texts via their Maui booking line) or the Four Seasons Resort Maui spa team, as this operational detail isn’t documented publicly.</t>
  </si>
  <si>
    <t>Diagnostics &amp; Imaging (0)
No diagnostic imaging or scanning equipment confirmed at this site (e.g., MRI, DEXA, ultrasound, or body composition scanners).
Labs &amp; Advanced Testing (1)
On-site phlebotomy station for biomarker testing and blood collection; laboratory analysis is processed externally through partner labs.
Regenerative / Cell Therapy (1)
Ozone therapy unit used for extracorporeal blood oxygenation as part of regenerative wellness treatments.
IV / Infusion Infrastructure (2)
IV lounge with reclining chairs for infusion therapies plus standard IV delivery equipment (infusion pumps and stands) for drip treatments.
Longevity Tech / Biohacking (0)
No cryotherapy chambers, hyperbaric oxygen therapy systems, infrared beds, or other biohacking technologies confirmed on-site.
Medical Aesthetics (0)
No aesthetic capital equipment (e.g., lasers, RF microneedling devices, or skin analysis systems) confirmed.
Specialist Movement / Performance Testing (0)
No VO₂ max testing, gait analysis, or biomechanics systems confirmed.
Total confirmed equipment / facility items: 4
External / Not On-Site:
Advanced longevity technologies referenced at other Next Health clinics — such as cryotherapy chambers, hyperbaric oxygen therapy, infrared therapy systems, and aesthetic device platforms — are not confirmed at the Four Seasons Maui location and were referenced only as potential future additions in a full Next Health build-out.</t>
  </si>
  <si>
    <t>Next Health at Four Seasons Maui does not operate any food and beverage concept. It provides clinical/treatment services only.
The Four Seasons Resort Maui offers three restaurants available to all guests:
1. Ferraro's Bar e Ristorante — Italian oceanfront dining (directly adjacent to Next Health's Ali'i Room location)
2. DUO Steak and Seafood — prime steaks and fresh seafood
3. Dos Hombres Cocina — Hawai'i-meets-Oaxaca dining pop-up experience
The resort also features poolside bars, a lobby lounge, and 24-hour in-room dining. No wellness-oriented or nutrition-focused dining programme is offered as part of the Next Health collaboration.</t>
  </si>
  <si>
    <t>Next Health at Four Seasons Maui operates with a very small clinical team consistent with its IV-lounge format. The site is overseen by Dr. Kyle Maehara (Medical Director), a regenerative and anti-aging physician based in Honolulu who provides medical oversight and prescribing authority but is not permanently on-site.
Day-to-day services are delivered by one nurse practitioner supported by a small team of registered nurses, typically 2–3 RNs, who administer IV therapies and injections.</t>
  </si>
  <si>
    <t>Next Health at Four Seasons Maui — Estimated Capital Intensity:
The Maui embedded offering requires minimal dedicated capital expenditure because:
• No permanent wellness technology installations (no cryotherapy, hyperbaric, infrared equipment)
• The Ali'i Room is an existing resort room repurposed as an IV lounge
• Clinical supplies (IV equipment, blood draw supplies, regenerative therapy materials) are consumables, not capital expenditure
• No significant build-out or tenant improvement required
Estimated setup cost: $50,000-$150,000 (medical equipment, furnishings, initial supplies, regulatory compliance)
For context, a full standalone Next Health franchise requires $1,690,200-$2,259,200 total initial investment (per 2025 FDD). The Maui embedded model represents a fraction of this — perhaps 3-7% of a full buildout.
The Four Seasons Resort itself is undergoing a multi-million-dollar renovation through 2026 (led by Meyer Davis), including a new Spa &amp; Wellness Centre opening Summer 2026. This renovation is funded by MSD Capital (the resort owner), not by Next Health.</t>
  </si>
  <si>
    <t>Next Health at Four Seasons Maui does not offer structured multi-day programmes. All services are available on an individual, à la carte basis.
The closest to a "programme" offering is:
1. JET LAG RELIEF PACK — a curated combination of IV Hydration + Glutathione Add-On + NAD+ designed to be taken on arrival day to combat travel fatigue and dehydration
All other services (IV drips, regenerative therapies, biomarker tests, acupuncture, chiropractic) are single-session bookings. Guests may combine multiple services across their stay but there is no formal programme packaging.
Note: Standalone Next Health locations offer structured programmes including Executive Physical ($14,500/year), Weight Optimization (Semaglutide/Tirzepatide), and Hormone Optimization — none of these are available at the Maui resort location.</t>
  </si>
  <si>
    <t>Not applicable [no formal programmes; individual treatments from $59 (vitamin shot)]</t>
  </si>
  <si>
    <t>Not applicable [no formal programmes; most expensive individual treatment is Stem Cell Therapy at $10,000]</t>
  </si>
  <si>
    <t>VITAMIN SHOTS ($59 each, 15 min):
• Super B Shot, Brain B Shot, Beauty B Shot, Limitless Shot, Lean B Shot, CoQ10 Shot
IV THERAPY ($299 each, 30 min — all include Myers Cocktail base):
• Hangover IV — toxin elimination, liver support, detox
• Glamour IV — collagen-boosting vitamin C, l-Lysine, biotin for hair/skin/nails
• Energy Plus IV — L-Carnitine, B12, amino acids for performance
• Super Immune IV — vitamin C, magnesium, B5, antivirals for immune defence
• Detox IV — system cleanse, skin clearing, energy boost
• Weight Loss IV — L-Arginine, B12, amino acids for metabolism
• Longevity IV — antioxidants, glutathione production, cognitive function
• Gut Health IV — glutamine for gut permeability and bloating reduction
• Stress IV — magnesium, vitamin C, folic acid for stress response
• Muscle IV — glycine, glutamine for tissue growth and recovery
• Brain IV — glycine, taurine for mental performance
• Hydration IV — fluids, electrolytes, pairs with Glutathione
ADD-ONS:
• NAD+ 100mg Add-On: $189 (up to 3 doses per IV)
• Hydration Add-On: $69
• Trace Elements Combo: $99 (zinc, copper, manganese, selenium)
NAD+ IV THERAPY ($1,250, 240 min):
• Full-dose NAD+ — mitochondrial recharging, anti-aging, cellular detox
JET LAG RELIEF PACK ($299 base + add-ons):
• Hydration + Glutathione + NAD+ combination designed for arrival day
REGENERATIVE THERAPIES:
• Ozone Therapy (~$1,200) — 10-pass blood oxygenation and bio-rejuvenation
• Exosome Therapy ($5,500, 60 min) — proteins for cell communication
• Stem Cell Therapy ($10,000, 60 min) — "conductors" of cell communication
BIOMARKER TESTING:
• Baseline Test ($399) — comprehensive overview with medical expert guidance
• Comprehensive Genetic Test ($599) — longevity/health genetic insights
• Food Sensitivity ($499) — 96 foods, IgG/IgA immunoglobulins
• Micronutrient ($499) — vitamins, minerals, amino acids, fatty acids
• Heavy Metals ($299) — kidney/liver strain, neurological risk
• Gut Sensitivity ($649) — microbiome health screening
• Wheat Zoomer ($499) — intestinal permeability, celiac, gluten sensitivity
• Grail Cancer Screening ($1,800) — 50+ cancer types multi-cancer detection
BODYWORK:
• Acupuncture ($250-$300, 50-80 min) — body, mind and spirit care
• Chiropractic ($140-$225, 25-50 min) — self-healing stress relief
• Cranial Release Technique ($280, 50 min) — nervous system, headache/tension relief
AGE RESTRICTIONS: Must be 18+. Over 69 requires Medical Clearance Form from PCP.
Cannot be pregnant, breastfeeding, or under the influence.</t>
  </si>
  <si>
    <t>Next Health memberships are cross-location across the Next Health clinic network (e.g. Los Angeles, New York, Miami, Dubai). However, the Four Seasons Resort Maui at Wailea outpost is not a full clinic, meaning many membership benefits are not usable there.
Current tiers (2025–2026):
Medicine 4.0 — $99/month
Biomarker testing, physician consultations, and access to peptide/hormone optimisation programmes.
Optimize — $199/month
1 vitamin shot/month plus 10 tech credits (e.g. cryotherapy, infrared, hyperbaric).
Optimize 4.0 — $299/month
Medicine 4.0 benefits plus 1 vitamin shot and 10 tech credits.
Premier — $299/month
2 IV therapies/month, 2 vitamin shots, and 10 tech credits.
Premier 4.0 — $399/month
Medicine 4.0 benefits plus 2 IVs, 2 vitamin shots, and 10 tech credits.
Platinum — ~$100,000/year
Ultra-premium tier including quarterly TPE with stem cells/exosomes, an annual Executive Physical, and unlimited IV/tech treatments.
Note: The Maui location operates primarily as a small IV lounge offering à-la-carte services (IV therapy, vitamin shots, NAD+, ozone, stem cells, exosomes). Most technology-based membership benefits (cryotherapy, hyperbaric, infrared) are not available on-site, making memberships less relevant than at full Next Health clinics.</t>
  </si>
  <si>
    <t>Not disclosed (founding member offers at new locations include 20-50% monthly discounts; no explicit joining fee published)</t>
  </si>
  <si>
    <t>No physical retail or product sales at the Four Seasons Maui location. Next Health operates an e-commerce platform (NextHealthShop.com) with supplements, at-home test kits, and bundles, but these are not sold on-site at the resort.
The Four Seasons Resort Maui has its own retail offerings including a gourmet shop (Pantry Maui by Madhappy opening as part of the 2026 renovation).</t>
  </si>
  <si>
    <t>Next Health services at Four Seasons Resort Maui are separately priced and billed — they are NOT included in room rates or resort packages.
Booking: Appointments required, booked by calling the resort at (808) 874-8000 or calling/texting Next Health directly at (808) 874-2925.
Four Seasons Maui room rates range from approximately $1,000-$20,000+ per night depending on season and room category (600 sq ft Garden View Room to 4,200 sq ft Presidential Suite). No resort fees are charged.
While wellness is promoted as part of the resort experience, Next Health treatments represent an additional cost. The resort does offer a "Wellness Your Way" programme encompassing spa treatments, culinary wellness, and fitness — but Next Health clinical services are incremental.</t>
  </si>
  <si>
    <t>1. All services subject to Hawaii General Excise Tax (GET) at 4.166%
2. Gratuity customary for spa/wellness services (not mandatory)
3. Medical Clearance Form required for guests over 69 years old (no additional fee, but PCP clearance is a prerequisite)
4. IV Therapy Add-Ons: NAD+ 100mg ($189 per dose, up to 3 per IV), Hydration ($69), Trace Elements Combo ($99)
5. Four Seasons Resort parking: valet and self-parking available (fees apply)
Comment: No cancellation policy details published. Services for ages 18-69 only (under medical evaluation). Cannot be pregnant, breastfeeding, or under the influence.</t>
  </si>
  <si>
    <t>A resort outpost extends reach, but this is brand visibility more than true operating scale.</t>
  </si>
  <si>
    <t>Extremely light versus the host resort; it behaves as an amenity, not a parallel wellness engine.</t>
  </si>
  <si>
    <t>Useful for guest spend capture and awareness, but too thin to replicate full-clinic economics.</t>
  </si>
  <si>
    <t>Better read as a resort upsell than a true clinic: high-price, low-footprint and materially reduced in scope.</t>
  </si>
  <si>
    <t>Embedded (No Mothership)</t>
  </si>
  <si>
    <t>Pillar Wellbeing at Raffles London at The OWO</t>
  </si>
  <si>
    <t>Raffles London at The OWO</t>
  </si>
  <si>
    <t>Whitehall, London, United Kingdom</t>
  </si>
  <si>
    <t>HNW, Affluent Wellness, Corporate Wellness</t>
  </si>
  <si>
    <t>Pillar Wellbeing is a luxury performance and lifestyle wellness concept founded by Harry Jameson that operates the active wellness component within Raffles London at The OWO. The OWO (the restored Old War Office) reopened in September 2023 following an eight-year £1.3bn redevelopment by Hinduja Group, transforming the historic building into a Raffles hotel with 120 rooms, 85 residences, restaurants, and a large wellness complex.
Within the 27,000 sq ft multi-floor wellness facility, Pillar manages the gym, movement studio, 20-metre pool, vitality pool, thermal facilities, recovery services, coaching programmes, and nutrition offering (Pillar Kitchen). It focuses on performance, preventative health, and personalised coaching, delivering services such as personal training, swim coaching, physiotherapy, nutrition guidance, recovery therapies, and group classes.
The wellness ecosystem operates as a two-partner model: Pillar runs the fitness, movement, and health optimisation side, while Guerlain operates the spa and treatment suites. Together they provide an integrated offering combining active training, recovery, and luxury spa treatments within the same facility.</t>
  </si>
  <si>
    <t>Individual Wellness, Corporate, High Performance</t>
  </si>
  <si>
    <t>Pillar Wellbeing operates the following spaces within the 27,000 sq ft multi-floor wellness facility (designed by Goddard Littlefair):
• Gym — cutting-edge fitness facility equipped by Technogym, used for data-led personal coaching sessions. Hours: weekdays 06:30-21:00, weekends 08:00-20:00 (24-hour for hotel guests).
• Movement Studio — dedicated space for group classes (HIIT, boxing, yoga, reformer Pilates, sound healing, Qi Gong) and private sessions.
• Recovery Area — physiotherapy, sports massage, percussion therapy, compression therapy (Normatec), breathwork, and mobility/stretch sessions.
• 20-metre Indoor Swimming Pool — under double-height ceilings, the centrepiece of the wellness facility. Family swim hours 08:00-10:00 and 15:00-17:00 (residents/hotel guests only, children under 16 supervised). Shaw Method swim coaching offered by Pillar.
• Vitality Pool — heated therapeutic pool adjacent to the main pool.
• Thermal Suite — sauna, steam room, and experience showers.
[NOTE: Spa treatment suites (9 in total, including 2 Cupola Suites, 1 Royal Suite, 1 Couture Suite, and 5 standard suites) are operated by a separate spa partner (Guerlain), not by Pillar Wellbeing. L'Atelier on the ground floor is also separately operated.]</t>
  </si>
  <si>
    <t xml:space="preserve">Diagnostics &amp; Imaging (0)
No MRI, CT, ultrasound, DEXA, or other clinical imaging platforms confirmed on-site. 
Labs &amp; Advanced Testing — Physical Infrastructure (0)
No on-site phlebotomy or laboratory infrastructure documented. 
Regenerative / Cell Therapy Infrastructure (0)
No regenerative medicine or cell therapy equipment installed. 
IV / Infusion Infrastructure (0)
No dedicated IV infusion suites or infusion delivery equipment confirmed. 
Longevity Tech / Biohacking (5)
VentriJect Seismofit® resting VO₂ max assessment system; body-composition analysis station; HRV monitoring system; blood pressure monitoring device; Normatec pneumatic compression recovery boots. 
Medical Aesthetics — Capital Device Platforms (2)
LED photobiomodulation device; microdermabrasion skin-resurfacing platform. 
Specialist Movement / Performance Testing (2)
Technogym Artis integrated cardio/strength training platform; dedicated movement studio for yoga, Pilates, boxing, and functional classes. 
Lifestyle Suite In-Room Equipment (3)
Interactive fitness mirror; TRX suspension trainer; fragrance-activated circadian ambience system. </t>
  </si>
  <si>
    <t>Membership-led, Treatment-led</t>
  </si>
  <si>
    <t>Pillar Kitchen (ground floor, Horse Guards Avenue entrance) — nutrition-led restaurant/café:
• Curated by 2x Michelin-starred chef Jason Atherton in collaboration with Pillar Wellbeing nutritionists (led by Stephanie de Chillaz, Head of Nutrition)
• Organic, locally sourced, plant-rich menu designed to support gut health, brain function, immunity, energy, and longevity
• Breakfast 8am-11:30am, Lunch 12pm-5pm
• Eat-in or takeaway: sweet and savoury dishes, cold-pressed juices, smoothies, coffees, changing dish of the day
• Open to the public via Horse Guards Avenue entrance
Wider hotel F&amp;B (not operated by Pillar):
• 9 restaurants including Mauro Colagreco at Raffles London (Michelin-starred chef, Mirazur), Saison, The Drawing Room (Afternoon Tea), Café Lapérouse, Paper Moon, Langosteria, and a rooftop restaurant by Endo Kazutoshi (Creative Restaurant Group)
• 3 bars: Guards Bar and Lounge, The Spy Bar, and rooftop Sake Bar
• Full breakfast: GBP 45 for adults, GBP 22.50 for children
• 24-hour room service</t>
  </si>
  <si>
    <t>Pillar Wellbeing Leadership:
• Harry Jameson — CEO &amp; Founder; former personal trainer to Boris Johnson; 20+ years' experience in fitness/wellbeing; runs Future Practice academy with Oliver Patrick
• Oliver Patrick — Clinical Director; Physiologist (Birmingham Univ.); former Head of Physiology at Nuffield Health (largest team of applied physiologists in UK); co-founded Viavi on Harley Street (advanced health screening 2009-2021); specialist in lifestyle management, health optimisation, and longevity for UHNW clients
• Andy Bruen — Chief Operations Officer
• Corin Margetson — Operations Director
On-Site Pillar Wellbeing Practitioners (named in Globetrender/sources):
• Louis Walcott — Head Performance Coach
• Oriance Lungu — Professional boxing champion and coach
• Sharia Johnson — Yoga and sound healing practitioner
• Erol Umut — Physiotherapist (Premier League experience)
• Stephanie de Chillaz — Head of Nutrition
• Dr Vanessa Moulton — Psychological Fitness Coach (optional, likely visiting)
Pillar coaching staff: all trainers hold minimum degree-level qualification + 3 years' industry experience + Future Practice wellbeing consultant training + 9 hours Pillar-exclusive digital training + 3 weeks on-site physical training (per Harry Jameson, HCM interview 2023). Trained to address sleep, stress, digestive health, immunity, cognitive function, and fertility.
[NOTE: Spa therapists, hair stylists, and beauty specialists operating within the same building are employed by the separate spa partner and are not included in this count.]
[COUNT NOTE: Col 40 shows 10 — the confirmed, named Pillar Wellbeing leadership and practitioners. The actual day-to-day team is likely 15-20 including unnamed coaches and trainers, but only 10 are publicly confirmed by name.]</t>
  </si>
  <si>
    <t>The OWO (Old War Office) transformation by the Hinduja Group and Onex Holding:
• Acquisition: £350-374 million (Government sale, 250-year lease, 2014/2016)
• Total investment: £1.2-1.3 billion (Hinduja Group statements, Republic World 2023)
• Development period: ~8 years (2015-2023)
• Original building: Grade II* listed Edwardian Baroque, completed 1906, designed by William Young (completed by Clyde Young). ~580,000-760,000 sq ft across seven floors with 1,100 rooms and 2.5 miles of corridors.
• Restoration: thousands of expert craftspeople restoring mosaic floors, oak panelling, chandeliers, marble staircase. Heritage-sensitive conversion.
• Hotel interiors: late Thierry Despont (celebrated for Statue of Liberty restoration)
• Residences: 1508 London
• Wellness interiors: Goddard Littlefair
• Contractor: Westminster Development Services (WDS); Toureen Group (civil works, £85M)
The wellness component (27,000 sq ft across four floors, shared between Pillar Wellbeing and a separate spa partner) is a fraction of the total build, but benefits from the premium heritage-conversion context. No Pillar-specific capex figure is publicly disclosed. Pillar operates an asset-light model (operating company, not property developer).
Residences: from ~£4M (1-bed) to £100M+ (penthouses). Average sale price ~£5,500 psf (EdgeProp 2025). ~50% sold by May 2025.</t>
  </si>
  <si>
    <t>Pillar Wellbeing "Transformation Programme" (launched January 2026):
Duration: 12 weeks (3 months)
Price: from £15,500 (~$20,150) for the full programme (excl. accommodation)
Included:
• Personal Wellbeing Assessment: weight, body composition, cardiovascular fitness, stress levels, blood pressure, lifestyle habits
• Dedicated wellbeing mentor as main point of contact throughout
• Up to 3x one-to-one coaching sessions per week (movement or recovery focus)
• Access to full group class timetable: HIIT, boxing, yoga, Pilates, sound healing
• Daily mobility programme
• Nutrition consultations (led by Stephanie de Chillaz, Head of Nutrition)
• Wearable technology: Whoop health/activity tracker + Freestyle Libre continuous glucose monitor (both kept by participant after programme)
• Optional: mental performance coaching (Dr Vanessa Moulton)
• Educational sessions on stress management, recovery, nutrition
• Full access to wellness facilities: gym, sauna, steam room, 20m pool
• Baseline assessments revisited to track progress at end
Key personnel:
• Louis Walcott (Head Performance Coach)
• Oriance Lungu (professional boxing champion)
• Sharia Johnson (yoga/sound healing)
• Erol Umut (physiotherapist, Premier League)
Additional sessions and optional food/drink delivery at extra cost.
Participants can upgrade to annual Pillar Wellbeing membership on completion.
[NOTE: This is the only formal structured programme. Pillar's core model is membership-based ongoing coaching, not time-limited wellness retreats.]</t>
  </si>
  <si>
    <t>PILLAR WELLBEING SERVICES (hotel guests, residents, members):
INDIVIDUAL SESSIONS:
• Personal Wellbeing Assessment (60 min) — weight, body composition, cardiovascular fitness, stress levels, blood pressure, lifestyle habits
• Metabolic Analysis (60 min) — breath test for calorie/glucose metabolism
• Personal Coaching (60 min) — tailored movement/fitness training
• Private Yoga (60 min)
• Shaw Method Swim Coaching (60 min) — technique-focused swimming instruction in 20m pool
• Recovery Session (60 min) — mobility, stretch, percussion, compression (Normatec), breathwork
• Physiotherapy (60/90 min) — Erol Umut (Premier League experience)
• Sports Massage (60 min)
• Psychological Fitness Coaching (60 min) — Dr Vanessa Moulton (optional)
• Nutrition Coaching (30/60 min) — Stephanie de Chillaz, Head of Nutrition
GROUP CLASSES (included in membership; available to hotel guests):
• HIIT
• Boxing
• Yoga
• Reformer Pilates
• Sound Healing
• Qi Gong
• Stretch &amp; Mobility
• Swim Coaching (group)
PROGRAMMES:
• 12-Week Transformation Programme (from £15,500): personalised fitness, nutrition, recovery, wearable tracking (Whoop, Freestyle Libre CGM), expert coaching, wellbeing assessments
FACILITIES (included in membership / complimentary for hotel guests):
• Gym (Technogym)
• 20-metre indoor pool
• Vitality pool
• Sauna, steam room, experience showers
• Movement studio
[NOTE: Individual Pillar session prices are not published. Sessions are included in membership tiers or available at additional cost for hotel guests. Spa treatments (facials, massages, body treatments, spa days) are delivered by the separate spa partner and are not included in this listing.]</t>
  </si>
  <si>
    <t>Pillar Wellbeing Membership at Raffles London at The OWO (limited numbers available):
1. Individual Membership:
• Annual fee: ~£6,250/year (~$8,032) + joining fee ~£2,000
• Access: gym, complimentary group exercise classes, swimming pool, vitality pool, sauna, steam room, experience showers
• Benefits: hotel dining discounts, valet parking discounts
• Joining gift: 90-minute treatment, wearable activity tracker, personal wellbeing assessment
• 6 guest passes per year
2. Joint Membership:
• Details/pricing not publicly disclosed; assumed for two individuals
3. Platinum Membership:
• Annual fee: ~£25,000/year (~$32,130)
• All standard benefits plus: unlimited personal coaching sessions, personal locker, complimentary gym kit laundering
Membership target: 250 members (HCM interview, April 2023)
Three user types: residential owners/tenants, hotel guests, and external members.
Application via membership.london@raffles.com
Also: Accor ALL loyalty programme (Raffles is an Accor brand) — hotel guests earn/redeem ALL points. Not a Pillar-specific loyalty scheme.
Sources: Global Traveler USA (Aug 2023, pricing); Wallpaper* ($6,250 + $2,000 joining); HCM/CladGlobal (Apr 2023, target 250 members).
[NOTE: Original membership descriptions referenced "exclusive member discounts on spa treatments and skincare collections" — these relate to the separate spa partner's offering and have been excluded from this entry.]</t>
  </si>
  <si>
    <t>No proprietary Pillar Wellbeing product line identified.
• Pillar Wellbeing app — virtual subscription for training programmes, nutrition plans, and wellness content (accessible remotely after membership/programme).
• Pillar Kitchen takeaway — cold-pressed juices, smoothies, and snacks available for purchase by non-members via the ground-floor entrance (Horse Guards Avenue).
[NOTE: On-site retail of skincare, fragrance, and beauty products (ground floor) is operated by the separate spa partner and is not included in this entry. The primary retail/product revenue stream for the wellness facility sits with that partner, not with Pillar Wellbeing.]</t>
  </si>
  <si>
    <t>Partial room-rate integration — mixed model:
• Hotel guests: complimentary access to gym, movement studio, swimming pool, vitality pool, sauna, steam room, experience showers, and group exercise classes. Gym available 24 hours for hotel guests.
• Pillar coaching/assessments: available to hotel guests at additional cost (pricing not published; included in membership).
• 2 Lifestyle Suites: dedicated wellness hotel suites with in-room fitness technology (Peloton, Normatec, yoga equipment, weighted blankets, fragrance-activated technology, healthy minibar, dark-mode settings) at premium room rates.
• Residence owners: access all wellness facilities; also have private residents-only amenities including gym, treatment suite, cinema, dining room.
Room rates: from ~£1,100/night (Classic) to £25,000/night (Haldane Suite).
Valet parking: £70/night. Breakfast: £45/adult.
[NOTE: Spa treatments within the same facility are priced separately and operated by the spa partner. Pool/thermal access for spa-only guests is subject to a separate £185 Spa Pass (4 hours) or included with 2+ hour treatments.]</t>
  </si>
  <si>
    <t>1. Valet parking: £70/night
2. Full breakfast: £45/adult, £22.50/child
3. Rollaway bed: £80/night
4. Membership joining fee: ~£2,000
5. 12-week Transformation Programme: from £15,500 (additional nutrition delivery at extra cost)
6. OWO Residences: from ~£4M (1-bed) to £100M+ (available for purchase, 250-year lease)
[NOTE: Spa Pass (£185, 4 hrs pool/thermal for non-members), spa treatment fees, hair styling, and beauty product retail are set by the separate spa partner.]</t>
  </si>
  <si>
    <t>A performance brand can gain instant scale by plugging into trophy mixed-use hospitality assets.</t>
  </si>
  <si>
    <t>Generous wellness space, but shared across guests, residents and members rather than a pure clinical cohort.</t>
  </si>
  <si>
    <t>Three demand pools - residents, hotel guests, members - create resilient mixed-economy monetisation.</t>
  </si>
  <si>
    <t>Wellness layer for hotel guests, residents and members; strong for yield capture, but performance-led rather than clinical.</t>
  </si>
  <si>
    <t>AEON Clinic at Atlantis The Royal (Dubai, UAE)</t>
  </si>
  <si>
    <t>AEON Clinic / Atlantis The Royal</t>
  </si>
  <si>
    <t>Palm Jumeirah, Dubai, United Arab Emirates</t>
  </si>
  <si>
    <t>AEON Clinic is a regenerative wellness and longevity centre founded by Dr. Jaffer Khan, located within Atlantis The Royal on Palm Jumeirah, Dubai, and opened in February 2023. Positioned as a medically led longevity clinic within a luxury hospitality setting, the concept focuses on regenerative and functional medicine approaches aimed at reversing or slowing cellular ageing.
The clinic integrates diagnostics, regenerative therapies, and aesthetics within a dedicated facility inside the resort, operating under UAE health authorities and positioning itself as one of the region’s early hospitality-integrated regenerative medicine clinics. It sits within the broader Atlantis The Royal ecosystem, targeting high-net-worth residents and international wellness travellers seeking medically supervised longevity treatments.</t>
  </si>
  <si>
    <t>Individual Wellness, Medical Recovery, Opportunistic Hotel Guest</t>
  </si>
  <si>
    <t xml:space="preserve">Not disclosed </t>
  </si>
  <si>
    <t>Exact treatment room count is not publicly disclosed. ODG Architects describes the 6,800 sq ft space as featuring "consultation rooms, treatment zones, and serene lounges" (TikTok, Dec 2025). Grazia describes the facility as having "dimmable glass walls" that allow spaces to be configured between open/airy and intimate/private.
Based on published service offerings, the clinic requires spaces for:
• Consultation rooms (multiple doctors operate concurrently)
• Stem cell therapy / IV therapy suite (60-90 min sessions, recliners/beds)
• Ozone therapy / EBO2 treatment room (specialised equipment)
• Hyperbaric oxygen therapy (mHBOT) room (AIRPOD chamber)
• Photobiomodulation / red light laser bed room
• Aesthetics treatment room(s) (injectables, laser, Morpheus8, Ultherapy, BBL)
• Physiotherapy / rehabilitation area
• IV laser therapy room
[NOTE: The 6,800 sq ft is relatively compact for the breadth of services offered. Some equipment/treatment rooms are likely multi-use. A precise count would require direct enquiry with the clinic.]</t>
  </si>
  <si>
    <t xml:space="preserve">Diagnostics &amp; Imaging (2)
Visbody AI 3D body composition and posture scanner; HRV monitoring system for autonomic nervous system and stress assessment. 
Labs &amp; Advanced Testing — Physical Infrastructure (1)
On-site phlebotomy / blood-draw station for diagnostic testing (samples sent to external laboratories rather than processed in-house). 
Regenerative / Cell Therapy Infrastructure (3)
10-Pass ozone therapy system; PRP centrifuge for platelet-rich plasma preparation; plasmapheresis blood filtration unit. 
IV / Infusion Infrastructure (2)
Dedicated IV drip therapy stations; multi-wavelength intravenous laser therapy system. 
Longevity Tech / Biohacking (5)
Hyperbaric oxygen therapy (HBOT) chamber; full-body red light photobiomodulation bed; PEMF therapy device; EXOMIND™ TMS neurostimulation system; extracorporeal shockwave therapy device. 
Medical Aesthetics — Capital Device Platforms (9)
Sciton BBL broadband light platform; Sciton MOXI fractional laser; Morpheus8 RF microneedling system; Ultherapy micro-focused ultrasound device; Fotona 4D laser platform; Tri-Beam Q-switched Nd:YAG laser; HydraFacial MD system; Dermapen 4 microneedling device; Aquagold Fine Touch micro-infusion system. 
Specialist Movement / Performance Testing (0)
No VO₂ max testing, gait analysis, or sports performance diagnostic platforms confirmed at this site. </t>
  </si>
  <si>
    <t>AEON Clinic does not operate any F&amp;B concept. No nutrition kitchen or dedicated restaurant.
Wider hotel F&amp;B at Atlantis The Royal (not operated by AEON):
• 16+ restaurants and bars, including 7 by celebrity chefs:
  - Dinner by Heston Blumenthal (contemporary British)
  - La Mar by Gastón Acurio (Peruvian)
  - Estiatorio Milos by Costas Spiliadis (Greek Mediterranean)
  - Nobu by the Beach (Japanese-Peruvian)
  - Ariana's Persian Kitchen (Persian)
  - Ling Ling by Tao Group (Pan-Asian)
  - Malibu 90265 (American diner)
  - Gastronomy (reimagined buffet)
  - The Royal Tearoom (afternoon tea)
  - House of Desserts
  - Seascapes Beach Bar, Elements Cocktail Bar
  - Cloud 22 Skypool F&amp;B
• 24-hour room service
• Breakfast: AED 345 (Gastronomy full breakfast)
[NOTE: The absence of a nutrition/F&amp;B offering is a notable gap compared to competitors like SHA (SHA Academy restaurant), Chenot (La Tisanière/Chenot Diet), Lefay (La Grande Limonaia), or Pillar Wellbeing (Pillar Kitchen). AEON's naturopathic practitioners provide nutritional advice but there is no integrated food-as-medicine component.]</t>
  </si>
  <si>
    <t>DOCTORS &amp; MEDICAL SPECIALISTS (15 listed on theaeonclinic.com/specialist/):
1. Dr. Jaffer Khan — Founder/Medical Director; Consultant Plastic &amp; Reconstructive Surgeon; FRCS (Plast) UK; trained at Cork University Hospital, St Bartholomew's, Royal London Hospitals, Manhattan Eye Ear &amp; Throat Hospital, Harley Street; first surgeon in region to pass FRCS(Plast); pioneer of facial resurfacing (introduced first Erbium YAG laser to Riyadh 1997, Dubai 1998); Visiting Professor, Anglia Ruskin University; KOL for Galderma and Allergan; leads MCH training programme in Dubai with Professor Frame
2. Dr. Yevgeniy Khavkin — Neurosurgeon
3. Dr. Jeannie Khavkin — Otolaryngologist (ENT)
4. Dr. Samar Habibullah — Specialist Psychiatrist
5. Dr. Saba Habibollah — Genetics &amp; Longevity Specialist
6. Prof. Babak Djavan — Consultant Urologist
7. Dr. Oleksandr Knigavko — Specialist Urologist &amp; Andrologist; 600+ penile prosthetic surgeries, 800+ penile enlargement procedures; former Director Andrology Fellowship, Kharkiv National Medical University; 20+ years across UAE and Eastern Europe
8. Dr. Ali Vahdani — Specialist Psychiatrist; expert in rTMS, brain mapping, neuromodulatory therapies, CBT; specialist in ADHD, treatment-resistant depression
9. Dr. Francisco de Melo — Consultant General Surgery (aesthetics); faculty IMA Dubai; consulting Medical Advisory Board Aqtis Medical and Sinclair Pharma
10. Dr. Mazen Al Samarrae — Specialist General Surgery; 28 years' experience; ozone therapy, IV drips, photodynamic therapy, aesthetics, wound management
11. Dr. Basanta Khatry-Chhetry — GP; Certificate in Aesthetic Medicine (AAAM); integrative, functional, and aesthetic medicine; ACLS trained
12. Dr. Alla Zaentc — GP; functional medicine, HRT, ozone therapy; attended A4M, IFM
13. Dr. Lica Ecaterina — Specialist Dermatologist; 120+ TV show appearances; injectable treatments, thread lifting, facials, laser treatments
14. Dr. Imane Farhat — Naturopathic Medicine Specialist; CONO board-certified (Canada); graduate Canadian College of Naturopathic Medicine; decade of experience; specialises in anti-ageing, cellular health, metabolic optimisation, LLLT, biohacking
15. Dr. Salman Gilani — Stem Cell Consultant; Fellowship in Stem Cell Therapy; Diplomat AAAM and ABRM; Affiliate for UAE and Pakistan chapters; responsible for training doctors in regenerative medicine
16. Prof. Massimo Piracci — Consultant Orthopedic Surgeon
NON-MEDICAL SPECIALISTS (2):
17. Ahmed Baraka — Head of Physiotherapy &amp; Rehabilitation; 19+ years' experience (Egypt, Oman, UAE); MBA Healthcare Management (Paris); BSc Physical Therapy (Cairo Univ.); certified in orthopedic manual therapy, aquatic therapy, dry needling, Lokomat robotic therapy; integrates medical tech with personalised physiotherapy
18. Zeina Soueidan — Clinical Dietician
[Also: Sumaia Alkhub — Clinical Dietician — listed but may be counted within 18 total]
[NOTE: The unusually broad multi-specialty team (neurosurgery, urology, psychiatry, ENT, orthopaedics) for a 6,800 sq ft regenerative clinic suggests many are visiting/part-time consultants rather than full-time residents. The core day-to-day clinical team likely comprises 5-8 practitioners. Dr. Khan's existing practice (Aesthetics International, Nova Clinic) means he is not exclusively at AEON.]</t>
  </si>
  <si>
    <t>AEON Clinic capex: Not publicly disclosed. The 6,800 sq ft space was transformed by ODG Architects from a former transit lounge into a regenerative wellness clinic. Medical equipment (HBOT chamber, ozone/EBO2 system, Sciton BBL, InMode Morpheus8, Ultherapy, IV stations, laser systems) represents significant capital investment, likely in the range of $2-5M for equipment alone (stem cell equipment and HBOT chambers are premium-priced).
Host hotel capex (Atlantis The Royal):
• Total investment: $1.4-1.6 billion (Kerzner International / ICD)
• Construction: September 2014 - January 2023 (8+ years)
• Developer: Kerzner International / Investment Corporation of Dubai (ICD, 46% stake)
• Size: 406,000 sqm total; 173,210 sqm site area
• Architecture: Kohn Pedersen Fox Associates (KPF) with IBI Group (lead architect)
• Hotel interiors: GA Design
• Residential interiors: Sybille de Margerie
• Construction: Six Construct and Ssangyong
• Materials: 90,000 sqm glass, 220,000 m³ concrete, 45,000 tonnes steel rebar, 150,000 sqm marble, 5,500 tonnes structural steel, 2,400 piles up to 45m deep
• 43 storeys / 178m tall, 500m long
Residences: 231 branded apartments (2-5 bed); prices from AED 7.2M (~$2M) to AED 180M (~$49M, 5-bed penthouse). Average ~$10,000+ per sq ft for premium units.
AEON's own capex intensity is moderate relative to the host property — it is an asset-light clinic operator embedded within a mega-resort, not a property developer.</t>
  </si>
  <si>
    <t>Consultation</t>
  </si>
  <si>
    <t>1. AEON Rejuvenescence Programme (Flagship Longevity Programme)
Signature regenerative longevity programme offered in 3-, 5-, or 7-day formats, combining advanced diagnostics (DNA, epigenome and telomere testing), personalised IV infusions, HBOT, ozone therapy, photobiomodulation, peptides, exosomes, stem-cell therapies, stress-management sessions, fitness training, and spa access at Atlantis The Royal. Concludes with a longevity consultation and personalised home-care protocol. Price: not publicly disclosed (bespoke). 
2. AEON Platinum Programme
Described as the clinic’s most comprehensive regenerative package, centred on personalised health diagnostics, holistic rejuvenation protocols, regenerative therapies (including stem cells), and ongoing care planning. Key biomarker focus: telomere length. Duration and price not publicly disclosed.
3. AEON Longevity Stay Package (Atlantis The Royal)
Residential wellness package combining a 2–5 night hotel stay (30% discounted rate) with daily clinical treatments: vitamin/mineral/toxin analysis, functional medicine consultation, HBOT session, photobiomodulation (red-light therapy), and NAD+-based Rejuvenescence IV drip (≈150 minutes of treatments per day). Price not publicly disclosed.
AEON Programme Model
Consultation → advanced testing/analysis → personalised regenerative treatment → follow-up longevity plan. Programmes are largely bespoke and treatment-led rather than fixed-price clinical packages, making direct comparison with structured retreats like SHA or Chenot difficult.</t>
  </si>
  <si>
    <t>REGENERATIVE MEDICINE:
• Mesenchymal Stem Cell Therapy (autologous &amp; allogeneic): AED 30,000-170,000
• Exosome Therapy: for orthopaedic injuries, anti-ageing, degenerative diseases
• 10-Pass Ozone Therapy / EBO2 (Extracorporeal Blood Oxygenation): from AED 4,500
• Genomic Medicine: gene analysis, personalised anti-ageing protocols
• Naturopathic Treatment: diet, exercise, stress management, self-healing
• Functional Medicine: root cause investigation, detox, immune optimisation
• Sports Medicine: stem cell activation, Prolotherapy, Prozone, PRP
REGENERATIVE WELLNESS:
• Hyperbaric Oxygen Therapy (mHBOT/AIRPOD): AED 1,200
• IV Therapy (5+ drips): from AED 2,100 (Skinny, Beauty Boost, Energize, Detox, Serenity, Rejuvenescence with NAD+, Gut Nurturing, Multivitamin &amp; Iron Boost, Stress Relief, Fountain of Youth)
• Peptide Therapy: hormone regulation, wound healing, anti-ageing
• Photobiomodulation / Red Light Laser Bed: AED 1,050
• Shockwave Therapy (FSWT/RSWT): tissue regeneration, pain relief
• SUMMUS Heat Therapy (platinum laser): muscle healing
• IV Laser Therapy: intravascular irradiation
• PEMF (Pulsating Magnetic Field Therapy)
• Male Wellness: ED treatments (Acoustic Wave, PRP, stem cells, TRT, penile prosthesis)
• Female Wellness: bioidentical hormones, regenerative sexual health, skin, joint health
• LLLT / Cold Laser Therapy: pain, inflammation, musculoskeletal conditions
AESTHETICS (by Dr. Khan and team):
• Face Art by Dr. Khan: bespoke fillers + Botox + cryo facial
• Dermal Fillers (Juvéderm, Restylane): volume restoration
• Botox / Botulinum Toxin: wrinkle reduction
• Sculptra: collagen stimulation
• Skinboosters: HA micro-injections
• PRP Vampire Facial
• Stem Cell Facial (Ante-Age MD)
• Morpheus8 RF Microneedling (InMode)
• Sciton BBL (Forever Young, SkinTyte, HERO): pigmentation, texture, acne
• Ultherapy: non-surgical ultrasound lifting
• Thread Lifting (Silhouette Soft)
• MOXI Laser Resurfacing (Sciton)
• Hollywood Facial: HydraFacial + Q-switch laser
• Youth Infusion: HydraFacial + Aquagold (Botox, HA, vitamins)
• Mesotherapy Facial
HAIR RESTORATION:
• Regenera Activa: progenitor cell extraction from scalp
• PRP: growth factor stimulation (from AED 20,000 stem cell)
• Mesotherapy: microinjection of vitamins/minerals
• Stem Cell Injections
• MCT Exosomes (with ALKEMY at Atlantis)
PHYSIOTHERAPY &amp; REHABILITATION (Ahmed Baraka, Head):
• Electrotherapy, exercise therapy, IASTM, trigger point therapy, mechanical lymphatic drainage, shockwave, dry needling, kinesio-taping, localised cryotherapy, ultrasound therapy, percussion gun therapy
DIAGNOSTICS:
• Real-time vitamin/mineral/toxin analysis
• Advanced functional medicine panels
• Genomic &amp; multi-omics testing
• Endocrine &amp; metabolic panels
• Cellular &amp; redox health testing
• Nutritional &amp; micronutrient testing
• Imaging/radiology: outsourced (not on-site)
[NOTE: Individual treatment prices beyond those listed above are not publicly published. AEON operates a consultation-first model where pricing is discussed during assessment.]</t>
  </si>
  <si>
    <t>No membership programme identified for AEON Clinic. Services are accessed on a treatment-by-treatment or package basis.
The AEON Longevity Stay Package at Atlantis The Royal offers a hotel stay + daily treatments framework but this is a booking package, not a recurring membership.
No loyalty programme operated by AEON. Atlantis The Royal is an Accor property and participates in the ALL (Accor Live Limitless) loyalty programme for hotel stays, but this does not extend to AEON clinic services.
[NOTE: The absence of a membership model is notable. Unlike Pillar Wellbeing (membership-led) or Lanserhof at Arts Club (Medical Concierge membership), AEON relies entirely on episodic treatment visits. This may reflect the medical/regenerative positioning where treatments are intensive, high-value, and less suited to recurring monthly access models.]</t>
  </si>
  <si>
    <t>No proprietary AEON product/retail line identified.
AEON uses premium third-party products in treatments (Juvéderm, Restylane, Ante-Age MD, Allergan, Galderma, Silhouette Soft) but does not appear to retail a branded product range.
Nutraceuticals/supplements are part of the treatment protocol but it is unclear whether these are available for retail purchase.
The AWAKEN Spa boutique (separate from AEON) retails Augustinus Bader, Dr. Burgener, Proverb, Aromatherapy Associates, Knesko, and AWAKEN house-branded products (massage oils, mists, skincare, activewear). AEON does not appear to participate in this retail.
[NOTE: Compared to competitors with proprietary product lines (SHA Boutique: 77+ SKUs; Chenot: supplements, skincare, tea; Guerlain at Raffles: fragrance/skincare retail), AEON has no identified retail revenue stream. This is a potential growth area.]</t>
  </si>
  <si>
    <t>Partial room-rate integration via the AEON Longevity Stay Package:
• 30% discount on rooms, suites, and signature penthouses at Atlantis The Royal when booking the AEON Longevity Stay Package (2-5 nights)
• Package includes daily treatments: vitamin/mineral/toxin analysis, functional medicine consultation, HBOT session, photobiomodulation, Rejuvenescence IV Drip with NAD+ (total ~150 min/day)
• This is an adults-only package
Standard hotel guests can book AEON treatments independently (no integration).
External (non-hotel) guests can also book AEON treatments independently.
Hotel fitness centre (AWAKEN Fitness) is complimentary for hotel guests aged 16+.
AWAKEN Spa services are at additional cost for hotel guests and external guests.
Room rates (Atlantis The Royal):
• Standard rooms (55 sqm): from ~$572-750/night (Expedia 2026)
• Royal Club rooms: from ~€1,105-1,301/night (ASMW 2026)
• Suites: from ~$2,000/night
• Sky Pool Villas: premium
• Signature Penthouses: up to ~$9,674/night (Travel Weekly)
• Royal Mansion (4-bed, 1,128 sqm): undisclosed (previously ~AED 100,000+/night)
[NOTE: The 30% room discount for Longevity Stay guests suggests meaningful co-marketing between AEON and Atlantis, but the integration is at the package level rather than systematic (no dedicated wellness rooms, no mandatory wellness component in room rate).]</t>
  </si>
  <si>
    <t>AEON Clinic:
1. Consultation fees: Not publicly disclosed (initial consultation likely AED 500-1,000+)
2. Diagnostic panels: Pricing varies by panel (metabolic, genomic, endocrine, etc.)
3. Follow-up consultations: Included in AEON Approach protocol
Atlantis The Royal (hotel):
4. Deposit: AED 2,000 per accommodation per stay
5. Tourism fee: AED 20/night per accommodation
6. Municipality tax: AED 7/night per accommodation
7. New Year's Eve Gala Dinner: AED 1,650/adult, AED 625/child (ages 4-13)
8. AWAKEN Spa pool/beach access pass: AED 300-350 (weekday/weekend)
9. Aquaventure Waterpark: complimentary for hotel guests
10. Breakfast (Gastronomy): AED 345/adult</t>
  </si>
  <si>
    <t>Regenerative longevity can live inside ultra-luxury hospitality and trade off hotel visibility.</t>
  </si>
  <si>
    <t>Meaningful specialist footprint, but still tiny relative to the total resort bed base.</t>
  </si>
  <si>
    <t>Broad treatment mix but no membership; monetisation stays episodic rather than recurring.</t>
  </si>
  <si>
    <t>Premium regenerative-medicine add-on within an ultra-luxury resort: high revenue potential, but episodic and low-immersion.</t>
  </si>
  <si>
    <t>Longevity Health &amp; Wellness Club at Kempinski The Boulevard (Dubai, UAE)</t>
  </si>
  <si>
    <t>Longevity Wellness Worldwide / Kempinski The Boulevard</t>
  </si>
  <si>
    <t>Hybrid</t>
  </si>
  <si>
    <t>2024</t>
  </si>
  <si>
    <t>Longevity Health &amp; Wellness Club is a 2,500 sqm integrated wellness and spa facility located on the 4th floor of Kempinski The Boulevard Dubai. The club operates as the hotel’s primary wellness partner and is part of the Longevity Wellness Worldwide brand founded by Nazir Sacoor. In Dubai, the Longevity Health &amp; Wellness Club concept is owned and developed by Wane Group, which introduced the brand locally.
The facility includes 10 treatment rooms, Hammam, outdoor spa pool, hydrothermal facilities, fitness and human-performance areas, and advanced aesthetic and longevity technologies (e.g., cryotherapy, CPET testing, spinal decompression, CoolSculpting, Emsculpt NEO, Ultraformer III, HydraFacial). Programming is organised across medical, nutrition, performance, hydrotherapy, aesthetics, fitness, spa, and sound-healing departments.
Longevity offers structured wellness programmes such as Anti-Aging, Optimal Weight, Advanced Detox, Perform, and Relax, typically delivered as 1-day or 7-day formats. Example: the 1-Day “Ageing Well” programme (from ~AED 4,320) combines diagnostics and regenerative treatments (e.g., ozone therapy, cryotherapy, chiropractic care, aesthetic therapies) with access to the club’s wellness facilities.</t>
  </si>
  <si>
    <t>Individual Wellness, Opportunistic Hotel Guest</t>
  </si>
  <si>
    <t>10 meticulously designed treatment rooms (per Kempinski.com and Fresha listing) across the 2,500 sqm (26,910 sq ft) 4th-floor facility. The treatment rooms support the following departments and modalities:
• Medical department: consultations with international doctors (internal medicine, cardiology, sport medicine, energetic medicine)
• Human Performance &amp; Thermoregulation: whole body cryotherapy (-110°C), anti-gravity treadmill, pressotherapy, spinal decompression, CPET testing, Neurac suspension system
• Advanced Aesthetic: CoolSculpting, Emsculpt NEO, Emtone, Ultraformer III, Accent Prime, LaseMD, HydraFacial MD, Clarity 2 laser
• Wellness &amp; Spa: massage rooms, facial rooms, couple treatment rooms
• Sound Healing: dedicated sound healing space
Additional wet facilities (not counted as treatment rooms):
• Traditional Hammam
• Finnish sauna
• Herbal steam rooms
• Infrared sauna
• Rhassoul
• Outdoor spa pool
[NOTE: 10 treatment rooms for a 2,500 sqm facility is relatively low density, suggesting generous room sizing and/or significant allocation to wet areas, relaxation zones, and the human performance/thermoregulation equipment areas.]</t>
  </si>
  <si>
    <t xml:space="preserve">Diagnostics &amp; Imaging (8)
Oxidative stress assessment device; arterial stiffness &amp; hypertension assessment system; vascular age assessment device; AGE Reader (advanced glycation end-products measurement); body composition analyser; skin collagen thickness analyser; minerals &amp; heavy metals spectrophotometry device; medical infrared thermography system for whole-body thermal screening. 
Labs &amp; Advanced Testing — Physical Infrastructure (1)
On-site laboratory diagnostics facility for blood draw and clinical sample processing (extent of in-house analysis vs external lab processing not publicly confirmed). 
IV / Infusion Infrastructure (1)
Dedicated IV infusion therapy suite including medical ozone therapy generator for intravenous ozone treatments. 
Longevity Tech / Biohacking (5)
°CRYO Arctic whole-body cryotherapy chamber (down to approx. −140 °C); Gharieni MLX i³Dome triple-detox therapy table (infrared, plasma and light therapy); Hydro-Jet pressurised hydrotherapy massage system; closed-system hydro-colon therapy unit; pneumatic pressotherapy device for lymphatic drainage and circulation. 
Medical Aesthetics — Capital Device Platforms (11)
CoolSculpting cryolipolysis body-contouring platform; Emsculpt NEO (HIFEM + radiofrequency muscle stimulation); Emtone RF + pressure-energy cellulite treatment system; Genius RF microneedling device; LaseMD thulium fractional laser; Clarity II dual-wavelength Alexandrite/Nd:YAG laser; OxyGeneo facial treatment platform; Accent Prime ultrasound + RF contouring device; Ultraformer III HIFU system; HydraFacial MD hydradermabrasion platform; PRP centrifuge system for platelet-rich plasma preparation. 
Specialist Movement / Performance Testing (0)
No dedicated VO₂ testing, gait analysis, force plates, or other clinical performance-testing platforms confirmed on site. </t>
  </si>
  <si>
    <t>No formal hospital or institutional medical partnerships are publicly disclosed. The only confirmed external collaboration is with Thermography Clinic Milton, a Canadian thermography provider that operates visiting pop-up clinics within the facility, with scans analysed remotely by certified doctors.
Blood samples can be collected on-site, but there is no disclosed in-house pathology lab, suggesting analysis is likely performed by an external reference laboratory (partner not publicly named).
Otherwise, the clinic appears largely self-contained, operating most diagnostics and treatments with its own on-site equipment and medical team.</t>
  </si>
  <si>
    <t>Longevity Health &amp; Wellness Club operates an integrated F&amp;B concept within its Health &amp; Nutrition department:
• Organic Press Juice Bar — on-site juice bar offering organic cold-pressed juices as part of the nutrition and detox programme
• Light lunch included in 1-Day programmes (e.g., the Ageing Well Programme at AED 4,320 includes "A Light Lunch and Refreshments")
• Intensive Detox Cures — structured detox protocols with dietary component
• Personalised Diet Programs — tailored nutrition plans based on food intolerance testing
• Nutrition Longevity® Academy — educational nutrition component
• Longevity® Dietary Supplement — proprietary supplement range
The F&amp;B offering is wellness-focused and programme-integrated rather than a standalone restaurant. It supports the detox, weight management, and anti-ageing programmes with nutritional consultations and targeted dietary interventions.
Hotel F&amp;B (Kempinski The Boulevard, not operated by Longevity):
• Multiple dining outlets within the hotel (not individually confirmed post-rebrand)
• 24-hour room service
• Club Lounge for Club Room/Suite guests
• Direct access to Dubai Mall with 200+ dining options
[NOTE: The Portugal operations (Longevity Vilalara, Longevity Alvor) include more developed nutrition restaurants with full meal programmes. The Dubai club's Organic Press Juice Bar and light lunch offering is a lighter version of the Portugal model, appropriate for an urban embedded concept where the hotel and Dubai Mall provide extensive external dining options.]</t>
  </si>
  <si>
    <t>Exact staff numbers are not publicly disclosed and the facility does not publish a medical team page. Public information states the club employs international doctors across internal medicine, cardiology, sports medicine, and energetic medicine, supported by specialists in acupuncture, nutrition, osteopathy, physiotherapy, fitness, and aesthetics.
Based on services offered, the operation likely includes a small resident medical team (~2–4 doctors) plus allied health practitioners and therapists. A few individuals identified externally include a club manager, cosmetologist, visiting thermography specialist, and therapists, but the full team structure and headcount remain undisclosed.</t>
  </si>
  <si>
    <t>Longevity Health &amp; Wellness Club capex: Not publicly disclosed. The 2,500 sqm (26,910 sq ft) facility on the 4th floor was fitted out as a spa/wellness club within the existing hotel structure. Key capital investments include:
• CoolSculpting system (~$80,000-150,000)
• Emsculpt NEO (~$250,000-400,000)
• Whole body cryotherapy chamber (~$50,000-100,000)
• Ultraformer III (~$50,000-80,000)
• Accent Prime (~$60,000-100,000)
• LaseMD (~$50,000-80,000)
• HydraFacial MD (~$20,000-35,000)
• Clarity 2 laser (~$80,000-150,000)
• Anti-gravity treadmill (~$30,000-40,000)
• CPET system (~$30,000-50,000)
• Spinal decompression system (~$50,000-100,000)
• Pressotherapy system (~$5,000-15,000)
• Neurac / Redcord system (~$10,000-20,000)
• Hammam, saunas, steam rooms (fit-out: ~$200,000-500,000)
• Spa pool and relaxation areas (fit-out: ~$300,000-800,000)
• Treatment room fit-out (10 rooms × ~$30,000-60,000 each)
• Total estimated equipment + fit-out: $1.5-3.5 million
Host hotel capex (Kempinski The Boulevard / Address Boulevard):
• Developed by Emaar Properties (2012-2017)
• 73 storeys, 370m tall; 196 hotel rooms + 530 serviced residences
• Project value: AED 1.086 billion (~$296 million) per Emaar/Wikipedia
• Sold by Emaar to Abu Dhabi National Hotels in 2018 for $598 million (including other hotels)
• Architect: WS Atkins &amp; Norr Group
• The Kempinski rebrand (2024) would have involved interior refurbishment costs (undisclosed)
Longevity's model is asset-light — it operates within existing hotel infrastructure and invests primarily in equipment and fit-out rather than real estate. This is consistent with the Portugal model where Longevity Vilalara operates within an existing resort.</t>
  </si>
  <si>
    <t>Longevity offers 5 core programmes — Anti-Aging, Optimal Weight, Advanced Detox, Perform, and Relax — with the brochures clearly detailing the 1-day formats and pricing, while the 7-day versions are referenced more broadly but without published pricing. The brand positions 1 week as the recommended minimum for more comprehensive results. 
e558e8_19eb47512a554c4fb368b640…
1. Anti-Aging / “Ageing Well”
1 day — AED 4,320
Includes ozone therapy, chiropractic adjustment, whole-body cryotherapy (−110°C), light lunch/refreshments, anti-ageing facial with Accent Prime, LaseMD hair restoration, body skin tightening with Accent Prime/Emtone, far infrared dome, plus wellness-facility access. Optional add-ons include colon hydrotherapy (60 min, AED 560) and Fountain of Youth IV drip (45 min, AED 1,300). 7-day price not published. 
e558e8_a9b74af203004918898c384a…
2. Optimal Weight
1 day — AED 2,870
Includes personalised nutrition plan, weight/body-composition monitoring, private training session, light lunch and refreshments, 60-minute revive massage or chiropractic adjustment, whole-body cryotherapy (−110°C), far infrared dome, plus wellness-facility access. Optional add-ons include ozone therapy for athletes/performance &amp; recovery (45 min, AED 650) and IV vitamin infusion (60 min, AED 1,300). 7-day price not published. 
e558e8_19eb47512a554c4fb368b640…
3. Advanced Detox / “Detox &amp; Immune Booster”
1 day — AED 3,530
Includes special detox wellness menu (breakfast, lunch, unlimited detox juice), private yoga or PT session, Oligoscan advanced cellular test, ozone detox blood therapy, far infrared dome, whole-body cryotherapy (−110°C), detoxification massage, plus wellness-facility access. Optional add-ons include purifying hammam treatment (60 min, AED 725) and colon hydrotherapy (60 min, AED 560). 7-day price not published. 
e558e8_3d70cd7dbf7d429184534253…
4. Perform / “Workout Routine”
1 day — AED 3,395
Includes assessment cardiopulmonary exercise test, AlterG-supported performance training, licensed chiropractor sports rehabilitation, 1-hour personal training, whole-body cryotherapy (−110°C), far infrared heat relax &amp; re-energise, sports massage rehabilitation, protein breakfast/lunch, and detox bar access. Optional add-ons include Boost Energy IV Drip (60 min, AED 1,300) and Emsculpt NEO (30 min, AED 1,785). 7-day price not published. 
e558e8_6e81ddbeb95d4774a5a9c7d4…
5. Relax / “Full Relaxation”
1 day — AED 3,260
Includes HydraFacial Platinum Elite, Hydra Scalp Cleansing, complete manicure or pedicure, shampoo/blow-dry for her or beard treatment for him, light snack with detox bar access, purifying detox treatment, phyto mud experience, and a body massage of choice. Optional add-ons include Royal Milk &amp; Rose Bath (30 min, AED 380), Back Facial (60 min, AED 680), and Purifying Hammam (60 min, AED 725). 7-day price not published. 
e558e8_29fac6cc6c364896935f6e55…
Summary note:
The brochures provide published prices only for the 1-day/day-visit versions. While Longevity positions these as part of broader wellness pathways and recommends one week for fuller benefits, no public 7-day programme pricing is shown in the attached materials. 
e558e8_19eb47512a554c4fb368b640…</t>
  </si>
  <si>
    <t>MEDICAL DEPARTMENT:
• Medical consultations (internal medicine, cardiology, sport medicine, energetic medicine)
• Diagnostic assessments
• Ozone therapy
HEALTH &amp; NUTRITION:
• Organic Press Juice Bar
• Nutrition consultations
• Food intolerance testing
• Personalised diet programmes
• Intensive detox cures
• Nutrition Longevity® Academy
• Longevity® Dietary Supplement
HUMAN PERFORMANCE &amp; THERMOREGULATION:
• Whole body cryotherapy (-110°C)
• Anti-gravity treadmill sessions
• Pressotherapy (lymphatic drainage)
• Spinal decompression
• CPET (VO2max / metabolic testing)
• Neurac suspension system (Redcord)
HYDROTHERAPY:
• Traditional Hammam experience: AED 699 (30 min)
• Finnish sauna
• Herbal steam rooms
• Infrared sauna
• Rhassoul treatment
• Colon Hydrotherapy: AED 560 (60 min)
SPORT &amp; FITNESS:
• Personal training
• Fitness assessment
• Performance programming
ADVANCED AESTHETIC:
• CoolSculpting (cryolipolysis fat reduction)
• Emsculpt NEO (HIFEM + RF muscle/fat)
• Emtone (RF + pressure energy for cellulite)
• Ultraformer III (HIFU skin lifting)
• Accent Prime (RF + ultrasound skin tightening / anti-ageing facial)
• LaseMD (thulium laser resurfacing / hair restoration)
• HydraFacial MD (multi-step cleansing facial)
• Clarity 2 laser (hair removal, vascular, pigmentation)
WELLNESS &amp; SPA:
• Express Head &amp; Shoulder Massage (30 min): AED 520
• Express Back Massage (30 min): AED 520
• Express Hand Massage (30 min): AED 520
• Express Foot Reflexology (30 min): AED 520
• Express Mini Facial (30 min): AED 520
• Thai Massage (60 min): AED 880
• Deep Cleansing Facial (45 min): AED 880
• Detoxifying Facial (60 min): AED 980
• Oxygen Facial (60 min): AED 980
• Vitamin C Facial (60 min): AED 980
• Anti-Aging Golden Facial 24K (75 min): AED 1,280
• Romantic Duo couple package (90 min): AED 1,100
• Couple Retreat (60 min): AED 1,630
• Perfect Couple (2 hrs): AED 2,360
• Waxing: AED 90-400
• Manicure/Pedicure: AED 180-290
SOUND HEALING:
• Vibrational/sound therapy sessions
IV THERAPY:
• Fountain of Youth IV Drip (45 min): AED 1,300
PHOTOBIOMODULATION / FAR INFRARED:
• Far Infrared Dome® treatment
• Photobiomodulation (included in anti-ageing programme)
Sources: Fresha.com (treatment menu with pricing), longevitywellnessclub.com (departments), programme brochure PDF.</t>
  </si>
  <si>
    <t>Annual membership is available at Longevity Health &amp; Wellness Club (confirmed via Facebook video post: "Take the next steps on your transformative wellness journey with an annual membership"). However, specific membership tiers, pricing, and benefits are not publicly disclosed on the website or social media. Enquiries directed to:
• Phone: +971 52 785 6703
• Email: info@longevitywellnessclub.com
GHA DISCOVERY loyalty programme (via Kempinski Hotels / Global Hotel Alliance):
• Hotel guests can earn and spend "DISCOVERY Dollars" (D$) on spa treatments
• Tiered programme (Silver, Gold, Platinum, Titanium, Black) based on hotel stays
• Not a Longevity-specific membership — it is the hotel loyalty programme
Portugal reference: Longevity Wellness Worldwide operations in Portugal do not appear to offer formal memberships either — their model is programme-based stays (minimum 3-7 nights) and individual treatments.
[NOTE: Membership pricing was not found in any public source. Given the treatment pricing (express treatments AED 520, programmes AED 4,320+), an annual membership is likely in the range of AED 15,000-50,000+ per year, but this is speculative. For accurate pricing, direct enquiry with the club is required.]</t>
  </si>
  <si>
    <t>Longevity® Dietary Supplement — listed as part of the Health &amp; Nutrition department's offerings on longevitywellnessclub.com/departments. This appears to be a branded supplement line, though specific products, pricing, and whether they are available for retail purchase (vs. prescribed as part of programmes) is not detailed on the website.
The parent brand (Longevity Wellness Worldwide, Portugal) may have a broader product range that feeds into the Dubai operation, but this has not been independently confirmed.
No dedicated retail boutique or shop is mentioned on the Dubai website.
[NOTE: The proprietary supplement line is a positive differentiator vs. competitors like AEON Clinic (no retail) but appears underdeveloped compared to SHA Wellness (SHA Boutique: 77+ SKUs, skincare, supplements, wellness products) or Chenot (full supplement and skincare range).]</t>
  </si>
  <si>
    <t>No specific room + wellness package has been publicly identified for Longevity at Kempinski The Boulevard Dubai.
Longevity operates as the hotel's named spa partner (listed as "Longevity Spa &amp; Wellness" on Kempinski.com), suggesting operational integration. However, no published package combines a room rate with a Longevity programme discount or inclusion (cf. AEON's 30% room discount Longevity Stay Package at Atlantis, or SHA's all-inclusive room + programme pricing).
Hotel guests likely receive complimentary access to certain wellness facilities (pool, fitness centre) as standard. Longevity treatments and programmes would be at additional cost.
The Longevity website does feature a "Rooms &amp; Suites" page referencing the hotel's room categories, suggesting they market room bookings alongside wellness — but integration appears to be at the marketing level rather than a structured pricing package.
Room rates (Kempinski The Boulevard):
• From ~$741/night (Kayak, 2025)
• Breakfast: AED 140/person (~$38)
[NOTE: This is a missed opportunity compared to competitors. The Portugal Longevity operations offer integrated hotel + wellness stays (e.g., Longevity Health &amp; Wellness Hotel Alvor is a dedicated wellness hotel with programmes included). The Dubai embedded model lacks this integration, which may limit wellness programme uptake among hotel guests.]</t>
  </si>
  <si>
    <t>Longevity Health &amp; Wellness Club:
1. Private Pool Rental: AED 10,000 / 4 hours (~$2,724); Summer Offer: AED 1,000 / 2 hours (~$272)
2. Spa add-ons: Collagen Foot Mask AED 105, Collagen Hand Mask AED 105
3. Waxing services: AED 90-400
4. Nail services: AED 180-290
Kempinski The Boulevard (hotel):
5. Room rates from ~$741/night
6. Breakfast: AED 140/person (~$38)
7. Tourism fee: applicable per UAE regulations
8. GHA DISCOVERY D$ can be earned/spent on spa services</t>
  </si>
  <si>
    <t>A wellness operator can urbanise credibly through hotel partnerships without building a destination asset.</t>
  </si>
  <si>
    <t>Wellness area is large enough to feel operationally serious, not just a token spa overlay.</t>
  </si>
  <si>
    <t>Mixes programmes, treatments and membership logic, but still leans on the hotel for capture.</t>
  </si>
  <si>
    <t>Ambitious hotel-embedded hybrid with real scale, but weak medical transparency softens credibility.</t>
  </si>
  <si>
    <t>Local Standalones (Dubai)</t>
  </si>
  <si>
    <t>Sohum Wellness Sanctuary (Dubai, UAE)</t>
  </si>
  <si>
    <t>Sohum Wellness Sanctuary</t>
  </si>
  <si>
    <t>Al Quoz, Dubai, UAE</t>
  </si>
  <si>
    <t>Sohum Wellness Sanctuary is a standalone Ayurvedic wellness destination in Al Quoz, Dubai, founded by Tanya S. Mansotra and opened in November 2024. Spanning roughly 25,000 sq ft, the sanctuary blends traditional Ayurveda with modern holistic wellness practices in a purpose-built environment featuring elemental treatment rooms, yoga and meditation studios, a Himalayan salt room, landscaped gardens centred around a “Tree of Life,” and a plant-based restaurant, TAAMA.
The concept is rooted in the Sanskrit mantra “So-Hum” (“I am That”), shaping the sanctuary’s philosophy of mind–body balance. Under the medical leadership of Dr. Nishana Nazeem, the offering combines Ayurvedic therapies (e.g., Panchakarma, Abhyanga, Shirodhara) with complementary practices such as sound healing, Reiki, breathwork, and crystal therapies.
Positioned as a luxury holistic retreat rather than a medical longevity clinic, Sohum offers multi-day Ayurvedic retreat programmes (typically 7–21 days) alongside individual treatments, wellness memberships, and plant-based Ayurvedic dining. The sanctuary targets guests seeking traditional healing, detoxification, and spiritual wellbeing within an immersive wellness environment.</t>
  </si>
  <si>
    <t>Individual Wellness, Corporate Wellness</t>
  </si>
  <si>
    <t>Sohum Wellness Sanctuary's treatment and therapy rooms are each uniquely designed by Venetian Enrico studio, themed by the five elements with distinct scent profiles, wall textures, and material palettes (per Scale Magazine, February 2026):
TREATMENT ROOMS:
1. PRITHVI (Earth) — single treatment room for Ayurvedic bodywork
2. SURYA (Sun) — single treatment room
3. AGNI (Fire) — single treatment room
4. VAYU (Air) — single treatment room
5. CHANDRA (Moon) — double spa room for couples/synchronised therapies
YOGA &amp; MEDITATION STUDIOS:
6. SAMSKARA — multi-purpose room for yoga, meditation, sound healing, and corporate wellness sessions; acoustically calm and visually restrained for inward focus
7. MOKSHA — dedicated meditation and Chi Gong room, lined with Himalayan salt bricks that soften light and alter the atmosphere
EVENT/WORKSHOP SPACE:
8. KARMA — capacity 20 people, equipped with projector and screen; hosts workshops, presentations, guided sound meditations, and full moon ceremonies
WET AREA (complimentary for therapy guests):
• Steam Room, Sauna, Cold Plunge, Hot Plunge, Experience Shower
OUTDOOR SPACES:
• Gardens centred on a century-old "Tree of Life" imported from Spain
• Sunken seating areas and private cabanas (French Riviera-inspired design)
• Buddha sculpture carved from single stone, imported from Bali, at the entrance
Note: Every room is fully customised — no spatial experience is repeated. The five-element design framework (Earth, Water, Fire, Air, Space) runs through both interior spaces and the garden landscape.</t>
  </si>
  <si>
    <t xml:space="preserve">Diagnostics &amp; Imaging (0)
No diagnostic imaging systems (MRI, CT, DEXA, ultrasound, or full-body scanners) confirmed on-site. 
Labs &amp; Advanced Testing (0)
No laboratory infrastructure or blood-draw capability identified; consultations and therapist-led assessments are referenced but without clinical testing equipment. 
Regenerative / Cell Therapy (0)
No regenerative medicine infrastructure such as stem cell processing, PRP centrifuges, or cell therapy suites confirmed. 
IV / Infusion Infrastructure (0)
No IV therapy lounge, infusion chairs, or drip delivery equipment identified. 
Longevity Tech / Biohacking (0)
No cryotherapy, hyperbaric oxygen, PEMF, red-light therapy, or other biohacking technology platforms confirmed. 
Medical Aesthetics (0)
No device-based aesthetics equipment (laser, RF, HIFU, IPL, microneedling platforms, LED beds) confirmed; facial treatments rely on topical skincare products. 
Specialist Movement / Performance Testing (0)
Yoga and movement classes are offered, but no clinical performance testing systems (VO₂ max, gait analysis, force plates) are present. 
Total confirmed equipment / facility items: 0
External / Not On-Site:
Some technologies referenced across the broader Sohum spa brand or Dubai wellness context (e.g., oxygen therapy, cryotherapy, hyperbaric oxygen, IV therapy) cannot be confirmed at the Al Quoz sanctuary. The facility instead centres on Ayurvedic treatment rooms, yoga/meditation studios, thermal facilities, and a Himalayan salt meditation room, reflecting its positioning as a holistic Ayurveda sanctuary rather than a medical or longevity clinic. </t>
  </si>
  <si>
    <t>Treatment-led, Programme-led, Membership-led</t>
  </si>
  <si>
    <t>TAAMA — Sohum's dedicated plant-based restaurant, open daily 11 AM-11 PM.
CONCEPT: Ayurvedic-inspired, plant-based cuisine with a zero-waste philosophy and locally sourced ingredients. The dining experience extends the wellness philosophy — "nourishment that honours both body and planet" (per Epicure Vietnam).
CHEF: Executive Chef Fabienne Saroufim — background in molecular gastronomy and open-flame cooking. The menu blends traditional Ayurvedic dietary principles with contemporary culinary techniques.
SETTING: Indoor and outdoor dining areas within the sanctuary compound, with views of the garden and the century-old Tree of Life. The restaurant is accessible to both wellness guests and walk-in diners.
PHILOSOPHY: Food as medicine — aligned with Ayurvedic concepts of sattvic (pure, harmonious) dining. Menu caters to dosha-specific dietary recommendations.
Note: Specific menu pricing is not publicly available. The restaurant operates on extended hours (11 AM-11 PM) compared to the wellness services (9 AM-9 PM), suggesting it functions as both a wellness-integrated and standalone dining destination.</t>
  </si>
  <si>
    <t>Doctors: 2
Two confirmed DHA-licensed Ayurveda doctors — Dr. Nishana Nazeem and Dr. Abhirami Santhosh — oversee consultations and traditional Ayurvedic treatment protocols.
Total specialists: 3
In addition to the two doctors, the sanctuary employs one holistic wellbeing practitioner (Smitha Prasad, clinical hypnotherapy and holistic therapies). A wider team of therapists and visiting practitioners supports treatments and workshops, but these are not specialist medical roles.</t>
  </si>
  <si>
    <t>Not disclosed [no external medical partnerships or visiting physician arrangements have been publicly announced. The Ayurvedic model is delivered by in-house practitioners under Dr. Nishana Nazeem's medical directorship. Sohum does not appear to offer any Western medical services that would require external physician referrals]</t>
  </si>
  <si>
    <t>Sohum Wellness Sanctuary — Estimated Capital Intensity:
The 25,000 sq ft sanctuary in Al Quoz required significant investment in:
• Full architectural design and build-out by Venetian Enrico studio
• 5+ individually designed treatment rooms with custom materials, scent profiles, and element-themed interiors
• Himalayan salt room (Moksha) — specialist material installation
• Professional-grade kitchen for TAAMA restaurant
• Wet area complex (steam, sauna, cold plunge, hot plunge, experience shower)
• Landscaped gardens with century-old Tree of Life imported from Spain
• Bali-imported Buddha sculpture at entrance
• French Riviera-inspired outdoor seating and private cabanas
• Ayurvedic treatment equipment (Shirodhara apparatus, herbal preparation areas)
• Sound healing equipment and acoustic design
• AV equipment in Karma room (projector, screen)
Estimated total investment: AED 8-15 million ($2.2-4.1 million) — based on Dubai commercial fit-out costs of AED 300-600/sq ft for premium wellness/hospitality spaces, plus specialist installations and imported features.
Comment: This is a substantial investment for a standalone Ayurvedic sanctuary. The custom design, imported artisan elements, and dedicated restaurant elevate the capex significantly above a standard spa fit-out. However, it remains below the capex of full-service medical wellness resorts (SHA, Lanserhof) which involve clinical-grade equipment and residential accommodation.</t>
  </si>
  <si>
    <t>HOLISTIC WELLNESS RETREATS (Multi-Day Ayurveda Programmes)
1. PANCHAKARMA DETOX PROGRAMME (3, 7 or 14 days — AED 1,850 / AED 5,350 / AED 10,000) — traditional Ayurvedic detoxification designed to cleanse the body and rebalance the doshas through herbal therapies and purification treatments.
2. WEIGHT MANAGEMENT PROGRAMME (3, 14 or 21 days — AED 3,050 / AED 9,500 / AED 13,500) — personalised weight-loss programme combining dietary adjustments, herbal remedies and metabolic detoxification.
3. ANTI-AGING RASAYANA PROGRAMME (3, 7 or 14 days — AED 2,900 / AED 9,125 / AED 10,000) — rejuvenation-focused Ayurvedic programme aimed at restoring vitality, slowing ageing processes and improving overall wellbeing.
CHRONIC CONDITION MANAGEMENT PROGRAMMES
4. DIGESTIVE &amp; METABOLIC RESET (7 or 14 days — AED 5,500 / AED 10,000) — targeted programme addressing digestive imbalance and metabolic health through diet, herbal medicine and detox therapies.
5. RESPIRATORY &amp; IMMUNITY BOOST (5 or 7 days — AED 1,700 / AED 2,650) — Ayurvedic respiratory care programme designed to strengthen immunity and support respiratory health.
6. STRESS RELIEF &amp; SLEEP WELLNESS (5 or 7 days — AED 4,500 / AED 6,250) — therapies focused on nervous system regulation, stress reduction and improved sleep quality.
7. CHRONIC PAIN &amp; JOINT CARE PROGRAMME (7 or 10 days — AED 5,500 / AED 7,650) — Ayurvedic therapies and herbal oils designed to relieve chronic pain and improve mobility.
8. DIABETES &amp; LIFESTYLE BALANCE PROGRAMME (10 or 14 days — AED 7,500 / AED 10,500) — programme targeting blood sugar regulation through diet, detoxification and lifestyle modification.
WELLNESS SPA PACKAGES
1. 5-SESSION SPA PACKAGE (90 minutes per session, valid 3 months — AED 3,150)
2. 10-SESSION SPA PACKAGE (90 minutes per session, valid 6 months — AED 5,600)
Available therapies include: Sohum Signature Massage, Aromatherapy, Deep Tissue, Hot Stone, Lymphatic Drainage, Balinese, Swedish, Thai, and Bamboo Massage.</t>
  </si>
  <si>
    <t>AYURVEDA CONSULTATION (AED 300):
• Dosha assessment, personalised treatment plan, dietary/lifestyle guidance
TRADITIONAL AYURVEDIC THERAPIES:
• Abhyanga (AED 500/700, 60/90 min) — warm herbal oil full-body massage for rejuvenation and relaxation
• Shiro Dhara (AED 700, 60 min) — continuous warm oil pouring on forehead; relieves stress, insomnia, mental fatigue
• Sarvanga Dhara (AED 1,000, 90 min) — continuous pouring of medicated oil/decoction over entire body
• Udwarthana (AED 500, 60 min) — herbal powder massage for weight management and cellulite reduction
• Pizhichil (AED 1,000, 90 min) — "King of Ayurvedic Therapies"; lukewarm medicated oil squeezed over body
• Kati/Greeva/Janu Vasti (AED 400, 45 min) — localised oil pooling for back/neck/knee pain
• Netra Tharpanam (AED 400, 45 min) — eye rejuvenation therapy
• Navara Kizhi (AED 700, 90 min) — rice poultice massage for nourishment
• Choorna Pinda Swedana (AED 400, 45 min) — herbal powder poultice therapy
• Nasyam (AED 300, 30 min) — nasal administration of herbal oils for sinusitis/headache
SOHUM SIGNATURE &amp; INTERNATIONAL THERAPIES:
• Sohum Signature (AED 750, 90 min) — sports massage + Thai techniques, deep tissue + fibrous tissue
• Deep Tissue (AED 750, 90 min), Hot Stone (AED 750, 90 min), Lymphatic Drainage (AED 750, 90 min)
• Aroma Therapy (AED 500/700, 60/90 min), Swedish (AED 500/700, 60/90 min)
• Balinese (AED 500/700, 60/90 min), Thai (AED 500/700, 60/90 min)
• Synchronised Aroma Therapy (AED 1,000, 90 min) — couples treatment
• Heated Bamboo (AED 750, 90 min), Pregnancy (AED 750, 90 min)
• Foot Massage (AED 300/450/550, 30/45/60 min)
CRYSTAL-BASED FACIAL THERAPIES:
• Dry Skin — Jade &amp; Malachite (AED 750, 60 min)
• Oily Skin — rare blue gem (AED 750, 60 min)
• Combination Skin — Ruby &amp; Red Jasper (AED 750, 60 min)
• Sensitive — Smithsonite, Sapphire &amp; Lapis Lazuli (AED 750, 60 min)
• Anti-Aging — Diamond &amp; Tourmaline (AED 1,200, 90 min)
BODY EXFOLIATIONS (AED 500, 45 min): Exotic Mango, Glowing Japanese Sakura, Brightening (Peace)
BODY ENVELOPMENTS (AED 550, 60 min): Dead Sea Mud Wrap, Invigorating Grape, Sunburn Soothe
ENERGY &amp; SPIRITUAL HEALING:
• Reiki healing, Crystal healing, Sound baths, Kirtan, Shamanic breathwork, Full moon ceremonies (pricing not listed on treatment menu — likely via booking/events calendar)
YOGA (multiple daily classes): Hatha, Vinyasa, Ashtanga, Yin, Power, Kundalini, Flow, Yoga Nidra, Pranayama</t>
  </si>
  <si>
    <t>Sohum Wellness Sanctuary offers a "bespoke membership plan, available by invitation only" (per Zawya press release). No published membership tiers, pricing, or benefits structure is available on the website or in press materials.
SESSION-BASED PACKAGES (alternative to membership):
• 5 Sessions Package: AED 3,150 (~$858) — 5 x 90-min therapies, valid 3 months (effective rate: AED 630/session vs AED 700+ standard 90-min price = ~10% saving)
• 10 Sessions Package: AED 5,600 (~$1,526) — 10 x 90-min therapies, valid 6 months (effective rate: AED 560/session = ~20% saving)
The Luxury Lifestyle Awards profile notes: "Sohum's membership model offers bespoke wellness plans with ongoing guidance from Ayurveda doctors, balancing nutrition, lifestyle, and herbal remedies personalised to each guest."
Comment: The invitation-only membership model suggests an exclusive, high-touch approach rather than a mass-market subscription. Pricing and terms are negotiated individually. This contrasts with the transparent tiered membership structures of competitors like Next Health or SHA.</t>
  </si>
  <si>
    <t>Not disclosed [membership is by invitation only; pricing is bespoke and not publicly published]</t>
  </si>
  <si>
    <t>Not disclosed [invitation-only bespoke membership; no published monthly pricing]</t>
  </si>
  <si>
    <t>No formal retail or product line confirmed at the sanctuary. Tanya Mansotra is also Founder &amp; CEO of Plant Essence, which may supply products used in treatments, but no retail component is publicly advertised.
Note: Ayurvedic sanctuaries of this calibre typically offer herbal supplements, oils, and treatment products for home use, but Sohum has not publicly promoted a retail element as of March 2026.</t>
  </si>
  <si>
    <t>Not applicable — Sohum Wellness Sanctuary is a standalone day sanctuary with no accommodation. There are no room rates to integrate.
Guests visiting for multi-day Holistic Wellness Retreats (7-21 days) must arrange their own accommodation independently. Al Quoz is a creative/industrial district in Dubai — nearby hotel options include properties along Sheikh Zayed Road.
Comment: The lack of on-site accommodation is a notable limitation for the retreat programmes. Competitors offering multi-day programmes (SHA, Lanserhof, Lefay) provide integrated residential stays. Tanya's stated ambition to expand into "hotels" suggests awareness of this gap.</t>
  </si>
  <si>
    <t>1. WET AREA ACCESS: Complimentary for therapy guests (Steam Room, Sauna, Cold Plunge, Hot Plunge, Experience Shower) — standalone wet area access pricing not published
2. YOGA CLASSES: Individual class pricing not published on menu (may be included in membership or separately charged via events calendar)
3. ENERGY HEALING: Reiki, Sound Baths, Crystal Healing, Full Moon Ceremonies — pricing not listed on treatment menu (booked separately via events/calendar)
4. TAAMA RESTAURANT: Separate dining charges (menu pricing not publicly available)
5. SESSION PACKAGES: 5 sessions AED 3,150 (3 months) / 10 sessions AED 5,600 (6 months)
6. VAT: UAE standard rate of 5% applies to all services
Comment: Several service categories (yoga, energy healing, events) have pricing that is not published on the main treatment menu. These appear to be booked via the sanctuary's events calendar or directly through the reception/WhatsApp (+971 4 397 0271).</t>
  </si>
  <si>
    <t>A strong local holistic sanctuary is possible, but scalability is not yet proven.</t>
  </si>
  <si>
    <t>With no rooms, all economics sit on treatment, retreat, F&amp;B and event throughput.</t>
  </si>
  <si>
    <t>Good in-location layering, but limited geographic or format diversification so far.</t>
  </si>
  <si>
    <t>Compelling Ayurvedic sanctuary with strong identity and F&amp;B, but founder dependence and no accommodation constrain scale.</t>
  </si>
  <si>
    <t>DNA Health &amp; Wellness at DIFC Gate Avenue (Dubai, UAE)</t>
  </si>
  <si>
    <t>DNA Health &amp; Wellness Group</t>
  </si>
  <si>
    <t>B — Urban Hub</t>
  </si>
  <si>
    <t>DIFC, Dubai, United Arab Emirates</t>
  </si>
  <si>
    <t>2020</t>
  </si>
  <si>
    <t>DNA Health &amp; Wellness is a functional medicine and longevity clinic located in Gate Avenue at Dubai International Financial Centre, one of Dubai’s main financial and professional hubs. Opened in October 2020, the clinic sits within the high-footfall Gate Avenue retail walkway and targets executives and professionals working in DIFC, operating extended hours (9am–10pm daily).
The clinic follows a functional medicine model focused on root-cause health optimisation across four pillars: Prevention, Optimisation, Rejuvenation, and Longevity. Services include advanced health screenings, genomic testing, IV and NAD+ infusions, ozone therapy, stem cells, peptides and exosomes, biological age testing, weight-loss programmes, and aesthetic treatments, alongside acupuncture and diagnostic testing.
The DIFC clinic is part of a wider DNA Health &amp; Wellness network of clinics across Dubai and Abu Dhabi, supported by a Global Scientific Board guiding clinical protocols across the brand’s personalised medicine and longevity programmes.</t>
  </si>
  <si>
    <t>Individual Wellness, Corporate Wellness, High Performance</t>
  </si>
  <si>
    <t>Not disclosed [the DIFC clinic, like all DNA Health locations, has consultation rooms, IV/treatment rooms, aesthetics rooms, and blood draw stations. The extended operating hours (9am-10pm, longest in the group) suggest sufficient capacity to handle higher throughput from the DIFC business community. Wheelchair accessible entrance, parking, and restroom (per Google Maps).]</t>
  </si>
  <si>
    <t>DNA Health DIFC Gate Avenue — Unit 103, Zone C. Individual treatment room counts are not publicly disclosed, but the service menu indicates the clinic includes:
EXPECTED CLINICAL ROOMS:
• Consultation Room(s) — for functional medicine, GP, and specialist consultations
• IV Infusion Lounge — recliner-based IV drip administration area
• Blood Draw Station — for health screening blood panels
• Treatment Room(s) — for ozone therapy, stem cell procedures, peptide administration
• Aesthetics Suite — for Morpheus8, Hydrafacial, laser treatments, Coolsculpting, Botox/fillers
• InBody Analysis Station — body composition measurement
ACCESSIBILITY:
• Wheelchair accessible entrance, parking lot, and restroom (per Google Maps)
• Private car park available (per website)
DISTINGUISHING FEATURES vs. OTHER DNA HEALTH LOCATIONS:
• Longest opening hours: 9:00 AM-10:00 PM, 7 days/week (vs. 8:30am-8pm at Al Wasl, Alserkal, Marina; vs. 8:30am-8pm Mon-Sat at Abu Dhabi)
• Financial district location — positioned for executive/corporate clientele
• Zone C of Gate Avenue, near DIFC Metro station — high-footfall central zone
For comparison, the Alserkal Avenue clinic (7,000 sq ft) includes "The Chi Room" for mindfulness; the Al Wasl Road flagship has a "Longevity Garden" for patient relaxation. No equivalent distinct feature has been identified for the DIFC location.</t>
  </si>
  <si>
    <t>Diagnostics &amp; Imaging (3)
ECG machine for cardiac screening, InBody body composition analyser, and proprietary AI-based functional health reporting software used to interpret biomarker results.
Labs &amp; Advanced Testing (2)
On-site phlebotomy/blood draw station supporting biomarker panels and a PRP centrifuge for platelet-rich plasma preparation (lab analysis processed externally).
Regenerative / Cell Therapy (3)
INUSpheresis® blood filtration system, 10-pass hyperbaric ozone IV therapy system, and stem cell IV administration infrastructure.
IV / Infusion Infrastructure (2)
Private IV therapy suites (“IV cinema”) and clinical IV infusion delivery stations supporting multiple drip formulations.
Longevity Tech / Biohacking (1)
TruAge™ epigenetic biological ageing testing platform (sample collection on-site; analysis processed externally).
Medical Aesthetics (6)
Morpheus8 Pro RF microneedling, ND:YAG laser, LASEMD fractional laser, HydraFacial device, oxygen facial delivery system, and professional microneedling/derma pen device.
Specialist Movement / Performance Testing (0)
No VO₂ max, biomechanics, or clinical performance testing systems confirmed.
Total confirmed equipment / facility items: 17
External / Not On-Site:
Advanced imaging used in screening programmes (Full-Body MRI, DEXA scan, and CT coronary calcium scoring) is performed through external partners such as Mubadala Health rather than at the DIFC clinic. Other technologies referenced at brand level (e.g. IPL, LED therapy) cannot be confirmed as installed at the DIFC site.</t>
  </si>
  <si>
    <t>Mubadala Health is the only publicly named clinical partner, providing advanced imaging services (Full-Body MRI, DEXA scans, and CT coronary calcium scoring) that are not available on-site at the DIFC clinic.
Other external dependencies:
Laboratory analysis (e.g. TruAge epigenetic testing, TruCheck cancer screening, and standard biomarker panels) is processed by external labs, and IV formulations are compounded off-site by Fusion Compounding Pharmacy. The clinic also routes certain specialised treatments across the wider **DNA Health &amp; Wellness UAE clinic network when required.</t>
  </si>
  <si>
    <t>Treatment-led, Programme-led</t>
  </si>
  <si>
    <t>DNA Health &amp; Wellness DIFC does not operate any food and beverage concept. The clinic is purely clinical/treatment-focused. The weight loss programmes include nutritional guidance and dietary planning (via clinical dietitian, AED 735 consultation) but no on-site dining.
Gate Avenue itself hosts numerous restaurants and cafés within walking distance of the clinic, but there is no integrated F&amp;B offering.</t>
  </si>
  <si>
    <t>Doctors: 1 confirmed on-site
The DIFC clinic’s Medical Director is Dr Yosef Alsaieq, a UK-trained Specialist in Family Medicine / General Practice registered with the Dubai Health Authority. He oversees clinical consultations, screening programmes, and treatment protocols at the DIFC facility.
Total specialists (on-site): ~3 (estimated)
The DIFC branch appears to operate with a small on-site clinical team centred on Dr Alsaieq and supported by nurses and treatment practitioners, suggesting an estimated ~3 clinical specialists present at the clinic at any given time.
Across the wider DNA Health &amp; Wellness organisation, roughly 10–12 named clinical practitioners are listed (including functional medicine physicians, plastic surgeons, an acupuncturist, and a clinical dietitian). These specialists appear to rotate across the group’s Dubai and Abu Dhabi clinics rather than being permanently based at DIFC, meaning the local clinic operates with a lean on-site team but has access to a broader network of medical expertise across the brand’s UAE locations.</t>
  </si>
  <si>
    <t>DNA Health &amp; Wellness DIFC — Estimated Capital Intensity:
Single urban clinic unit (estimated 2,500-4,000 sq ft) within Gate Avenue at DIFC.
Capital requirements:
• Lease/fit-out of commercial unit within Gate Avenue (Zone C)
• Clinical fit-out (consultation rooms, IV lounge, aesthetics suite, blood draw station)
• Medical equipment (ozone therapy system, Coolsculpting, Morpheus8, laser systems, InBody analyser)
• IT infrastructure (AI-based reporting software, Mindbody booking system)
ESTIMATED CAPEX:
• AED 2-5 million ($550K-$1.4M) including fit-out, equipment, and licensing
• DIFC commercial rents are among the highest in Dubai; ongoing occupancy costs are significant (Gate Avenue retail rents estimated at AED 200-350 per sq ft per annum)
GROUP COMPARISON:
• Alserkal Avenue (7,000 sq ft): estimated AED 4-7 million
• Abu Dhabi flagship (11,000+ sq ft with imaging): estimated AED 8-15 million
• Standard Dubai urban clinic (2,000-5,000 sq ft): AED 2-5 million
• Total estimated group capex across 7 locations: AED 20-40 million ($5.5-10.9M)
Comment: The DIFC location likely has higher operating costs per sq ft than other DNA Health clinics due to premium DIFC rents, but the financial district catchment and extended hours (9am-10pm) may support higher revenue per sq ft.</t>
  </si>
  <si>
    <t>All programmes are available across DNA Health clinics (uniform offering). Programmes offered at DIFC:
WEIGHT LOSS PROGRAMMES (via weightlossclinic.ae, led by Dr. Al Jafari):
1. GET-IN-SHAPE (1 month, AED 3,000) — lose up to 6 kg; functional testing, bespoke plan, medical team support, nutritional programmes, supplementation
2. BODY RESET (2 months, AED 5,500) — lose up to 9 kg; detailed functional testing, root cause analysis, weight loss injections if appropriate, weight loss IVs
3. LIFE CHANGER (3 months, AED 8,500) — lose up to 15 kg; comprehensive functional testing, dietitian, lifestyle coach, long-term weight maintenance
LONGEVITY PROGRAMME:
4. LONGEVITY HEALTH SCREENING (6 months, AED 35,000) — 15,000+ parameters, 100 GB data, advanced imaging, DNA screening; 4 consultations over 6 months
STEM CELL PROGRAMMES (pricing on enquiry):
5. LONGEVITY — 200M stem cells IV + consultations + 6-month protocol
6. VITALITY — 200M stem cells IV + consultations
7. MAINTENANCE — 100M stem cells IV + consultations
Note: Programme consultations may involve visits to multiple DNA Health locations depending on treatment requirements (e.g., advanced imaging for the Longevity Health Screening may require referral outside DIFC).</t>
  </si>
  <si>
    <t>CONSULTATIONS:
• Functional Medicine Practitioner (AED 800), Plastic Surgeon (AED 600), GP (AED 450), Acupuncturist (AED 400), Clinical Dietitian with InBody (AED 735)
ANNUAL HEALTH SCREENINGS:
• Vital (33 markers, AED 800): CBC, Lipid Profile, HsCRP, liver/renal panels, HBA1c, Vitamin D3
• Annual (57 markers, AED 1,950): adds InBody, advanced lipids (ApoA1/ApoB), insulin, thyroid (TSH/FT3/FT4/Anti-TPO), iron, zinc, folate
• Executive (80 markers, AED 3,850): adds ECG, cancer markers, cortisol, DHEAs, homocysteine, testosterone/estradiol, consultation + treatment plan
CANCER SCREENINGS:
• Vital (AED 1,650): CA125, AFP, CEA, CA19-9, CA15-3, hCG, PSA, FOB
• Advanced (AED 3,500): adds abdominal ultrasound
• TruCheck (AED 8,500): liquid biopsy for 70+ cancers
IV INFUSIONS (12 formulations):
• Anti-ageing, Energy Boost, Hair Regenerate, Immune Boost, Glowing Skin, Anti-stress (all AED 1,050); Blood Boost/Iron and Liver Detox (AED 1,085 each)
• NAD+ (from AED 1,850); NAC (AED 500/700); Methylene Blue (from AED 875)
• Vitamin Shots B12/D/C (from AED 150)
OZONE IV THERAPY:
• 10-pass hyperbaric (AED 2,520) — "only clinic in UAE" offering 10-pass
• 20-pass (on enquiry)
LONGEVITY &amp; REGENERATIVE:
• TruAge biological aging test (AED 3,000)
• Longevity Health Screening (AED 35,000; 15,000+ parameters, 100 GB data, 6 months)
• Stem Cell Therapy — autologous/allogenic; 3 programmes (100-200M cells IV)
• Peptides (panel AED 400; therapy on enquiry); Exosomes (on enquiry)
AESTHETIC TREATMENTS:
• Morpheus8 (from AED 1,500), Hydrafacial (AED 600-800), Laser facials (AED 600-1,200)
• PRP/Meso microneedling (AED 700-750), Oxygen/PDRN facials (AED 900-1,000)
• Coolsculpting Elite (from AED 875), Laser hair/pigment/tattoo removal (AED 250-400)
• Skin resurfacing (AED 1,200), Botox/fillers (on enquiry)
GUT, HORMONES, DNA:
• GI Map (AED 2,800), Food Intolerance 286 (AED 1,100-1,200), IgE allergy tests (AED 650-2,200)
• Hormone panels male/female (AED 1,650), DUTCH Plus (AED 3,850), Thyroid (AED 900)
• DNA Health Profile (AED 2,600), DNA panels (AED 2,000), Whole genome (on enquiry)
ACUPUNCTURE: Consultation + 1st session (AED 650), follow-up (AED 350)
Note: Rate card is uniform across all DNA Health clinics. Not all treatments may be physically available at DIFC — some specialist services may require attendance at other locations.</t>
  </si>
  <si>
    <t>DNA Health &amp; Wellness does not operate a formal membership programme at any location, including DIFC. Revenue is transaction-based (per treatment/consultation).
VOLUME DISCOUNT PACKAGES (available group-wide):
• IV Drip Pack of 4: 40% off (e.g. 4 standard IVs for AED 3,600 vs AED 4,200 à la carte)
• Ozone IV 3-session pack: AED 7,560 (20% off single-session pricing)
• Acupuncture 5-session pack: AED 1,500 (AED 300/session vs AED 350 single)
• Stem Cell limited offers: 10% off 100M cells, 20% off 200M cells (periodic promotions)
Comment: The absence of a membership model is notable given the DIFC location's potential for recurring executive clientele. Competitors like Next Health operate 6 membership tiers ($99-$100,000/year). A membership offering tailored to DIFC's financial professionals could represent a significant revenue opportunity.
For comparison: AEON Clinic at Atlantis The Royal (row 21 in this matrix) also lacks a formal membership programme; both AEON and DNA Health DIFC operate in the premium Dubai longevity segment without membership lock-in.</t>
  </si>
  <si>
    <t>Not applicable [no membership programme]</t>
  </si>
  <si>
    <t>No retail or product sales component identified at the DIFC clinic or any DNA Health location. Unlike Next Health (NextHealthShop.com) or SHA (SHA Boutique with 77+ supplements), DNA Health does not sell supplements, skincare, or wellness products directly to patients.
Supplementation is prescribed as part of treatment protocols but no branded product line or retail operation has been identified.</t>
  </si>
  <si>
    <t>Not applicable — DNA Health DIFC operates as a standalone clinic within a commercial walkway (Gate Avenue), not within a hotel.
NEARBY HOTEL CONTEXT:
DIFC is home to several luxury hotels within walking distance of Gate Avenue:
• Ritz-Carlton DIFC (349 rooms)
• Four Seasons DIFC (106 rooms)
• Waldorf Astoria DIFC (275 rooms)
There is no formal room-rate integration or referral partnership with any of these hotels. However, the proximity creates a natural catchment for hotel guests seeking wellness/longevity treatments during their stay.
Operating hours: 9:00 AM-10:00 PM, 7 days a week (longest of any DNA Health clinic). The extended hours are particularly suited to the business traveller demographic in the DIFC hotel cluster.</t>
  </si>
  <si>
    <t>1. ALL PRICES INCLUSIVE OF VAT — DNA Health states "all prices are inclusive of VAT and any in-clinic offers" (per rate card)
2. NO CONSULTATION FEE for IV/treatment bookings (consultation fees apply only for standalone medical consultations)
3. HOME SERVICE available — mobile/concierge clinic for at-home treatments in Dubai; doctor and nurse reach within 30-45 minutes; additional call-out fee not publicly stated
4. PARKING: Private car park available at all locations including DIFC (per website)
5. 24/7 CUSTOMER CARE: +971 4 573 6500 and WhatsApp +971 58 597 4663
DIFC-SPECIFIC COST CONTEXT:
No DIFC-specific pricing premiums identified — the rate card is uniform across all DNA Health clinics. This is notable given the premium location.</t>
  </si>
  <si>
    <t>Functional-medicine longevity scales well as a multi-site urban network in dense business districts.</t>
  </si>
  <si>
    <t>No-room clinic model optimises convenience and throughput, not immersion or residential capture.</t>
  </si>
  <si>
    <t>Broad services and multiple sites help resilience, but no membership weakens recurrence.</t>
  </si>
  <si>
    <t>Convenient business-district longevity clinic: credible and repeatable, though retention is weaker without membership.</t>
  </si>
  <si>
    <t xml:space="preserve">Tulah </t>
  </si>
  <si>
    <t>Tulah Clinical Wellness</t>
  </si>
  <si>
    <t>Kerala, India</t>
  </si>
  <si>
    <t>UHNW, Medical Tourism</t>
  </si>
  <si>
    <t>Tulah Kerala is a 30-acre residential clinical wellness sanctuary in Kerala, currently operating at 35 suites per Feb 2026 management commentary (while brochure materials reference 65 suites at full sanctuary scale). It combines hospital-grade diagnostics (including MRI, ICU and operating theatre capability), same-day lab turnaround and multidisciplinary care with Ayurveda and functional medicine. Commercially it offers Wellness (prevention) and Clinical (reversal) Journeys, with progress tracked through the proprietary Tulah Life Index and supported post-stay via tulåh Tech.</t>
  </si>
  <si>
    <t>Medical Recovery, Individual Wellness, High Performance</t>
  </si>
  <si>
    <t>Materials indicate an 885 sqm spa with 14 wellness suites and treatment rooms, alongside hydrothermal and meditation amenities; separate materials also reference a fully equipped clinical facility with ICU, operation theatre and dedicated medical suites, but no confirmed count is given for clinical rooms specifically. 14 can be logged tentatively for wellness/treatment suites rather than clinical rooms.</t>
  </si>
  <si>
    <t>Diagnostics &amp; Imaging (11)
MRI scanner; CT scanner (incl. coronary calcium scoring capability); digital X-ray unit; DEXA scanner; diagnostic ultrasound suite; ECG system; echocardiography system; sleep study / polysomnography capability; endoscopy suite; bioelectrical impedance body composition analyser; clinical skin analysis device.
Labs &amp; Advanced Testing — Physical Infrastructure (2)
On-site pathology &amp; clinical laboratory (same-day turnaround capability); central sterilisation / CSSD unit supporting surgical and procedural services.
Regenerative / Cell Therapy Infrastructure (6)
PRP centrifuge system; ozone therapy equipment; photobiomodulation device; hyperbaric oxygen therapy (HBOT) chamber; whole-body cryotherapy chamber; infrared sauna.
IV / Infusion Infrastructure (1)
Dedicated IV infusion capability integrated into clinical protocols.
Longevity Tech / Mind-Body Infrastructure (3)
Sonorium sound-healing dome; patented Ayurvedic Vichy therapy bed; aquatic therapy tanks.
Specialist Movement / Performance Testing (4)
CPET / VO₂ max cardiopulmonary testing system; spirometry platform; VALD neuromuscular assessment system; anti-gravity treadmill.
Clinical Support Infrastructure (2)
Operating theatre; on-site intensive care unit (ICU).</t>
  </si>
  <si>
    <t>Meitra Hospital, Tulah’s JCI-accredited sister hospital, sits ~20 minutes away and provides overflow / specialist support. Brochures cite access to advanced imaging, medical technology and 200+ specialists when needed; the Feb 2026 transcript also describes planned surgical teams being drawn in from Meitra for elective procedures.</t>
  </si>
  <si>
    <t>Room-led, Programme-led</t>
  </si>
  <si>
    <t>Tulah Kerala operates two on-site restaurants within the 65-suite sanctuary, both structured around its medically guided nutrition framework rather than standalone dining concepts. Guests receive three personalised meals per day included within the room rate, with menus tailored to individual diagnostic results (including genomics, microbiome and clinical markers) and aligned to a prescribed nutrition plan; offerings are seasonal and farm-to-table, predominantly plant-based with ethically sourced seafood and meats, supported by on-site medicinal and botanical gardens that inform both cuisine and therapeutic use.</t>
  </si>
  <si>
    <t>Partner hospital</t>
  </si>
  <si>
    <t>Purpose-built residential clinical wellness sanctuary with hospital-grade infrastructure including MRI, ICU and operating theatre capability, advanced diagnostics and regenerative/biotech suites — representing very high capex intensity due to full clinical and surgical build-out rather than treatment-room–led wellness fit-out.</t>
  </si>
  <si>
    <t>Pricing is room-night–based rather than programme-based, with totals determined by Journey type (Wellness vs Clinical), room category, occupancy and duration.
Per-night ranges are approximately:
• $1.15k–$4.0k for Wellness Journeys, and
• $1.55k–$4.7k for Clinical Journeys (excl. 18% GST).
By Journey (as correlated with their respective room nights):
Clinical Journeys
1. Cardio-Respiratory Balance — 14 or 21 nights — ~$23.1k or ~$81.9k
2. Auto-Immune Balance — 14 or 21 nights — ~$23.1k or ~$81.9k
3. Oncology Recovery — 14 or 21 nights — ~$23.1k or ~$81.9k
4. Neuro-Rehab — 14 or 21 nights — ~$23.1k or ~$81.9k
Wellness Journeys
5. Executive Recharge — 7, 14 or 21 nights — ~$9.8k, ~$17.5k or ~$67.2k
6. Soul Realignment — 7, 14 or 21 nights — ~$9.8k, ~$17.5k or ~$67.2k
7. Inner Radiance — 7, 14 or 21 nights — ~$9.8k, ~$17.5k or ~$67.2k
Hybrid / Overlap Journeys
8. Longevity Medicine — 7, 14 or 21 nights — ~$9.8k, ~$17.5k or ~$81.9k
9. Hormonal Balance — 14 or 21 nights — ~$17.5k or ~$81.9k
10. Sleep &amp; Calm — 14 or 21 nights — ~$17.5k or ~$81.9k
11. Metabolic Detox Reset — 14 or 21 nights — ~$17.5k or ~$81.9k
12. Gut &amp; Immunity Restore — 14 or 21 nights — ~$17.5k or ~$81.9k
12. Movement &amp; Mobility Reset — 14 or 21 nights — ~$17.5k or ~$81.9k
14. Discover Clinical Wellness — 4 nights — ~$6.4k
Tulah Life Index consultations are included with each Journey.</t>
  </si>
  <si>
    <t>Tulah references 44 named treatment modalities across the Clinical Wellness and Digital Concept brochures, spanning Ayurveda (incl. Panchakarma), bodywork, TCM, psychology, sound therapies and regenerative tech (e.g., HBOT, PRP, cryotherapy, IVs). These are delivered within personalised Wellness or Clinical Journeys rather than as a standalone menu, with selections guided by diagnostics and individual goals. The Tulah Life Index is presented as a proprietary diagnostic / progress-tracking framework within those journeys, not as a separately sold treatment or add-on.</t>
  </si>
  <si>
    <t>Protocol-led apothecary-style retail: take-home remedies and herbal products rooted in on-site medicinal gardens (incl. extensive herbal tea offering), complemented by a digital product layer (tulåh Tech) for post-stay tracking and ongoing personalised guidance; no SKU-level retail catalogue is itemised in the provided materials.</t>
  </si>
  <si>
    <t>Tulah is effectively room-rate integrated. Guests are priced per night by Journey type, room category, occupancy and duration, but the nightly rate bundles accommodation, three personalised meals per day, doctor consultations, diagnostics / bloodwork and treatment protocols. Management says the model is solution-led rather than fixed-package-led, with length of stay clinically recommended pre-arrival and extensions possible on property.</t>
  </si>
  <si>
    <t>1. 18% GST — added on top of room-night pricing (applies to both Wellness and Clinical Journeys).
2. Room category upgrades — higher room types increase the per-night rate (not a separate fee, but an explicit pricing variable).</t>
  </si>
  <si>
    <t>Tulah proves the core proposition is a system-led mothership, not just a wellness hotel.</t>
  </si>
  <si>
    <t>Low key count versus high clinical depth suggests rooms exist to contain the programme.</t>
  </si>
  <si>
    <t>The logic is integrated journeys plus post-stay continuity; unbundling is the main dilution risk.</t>
  </si>
  <si>
    <t>Tulah is strongest as the Kerala mothership: clinically deep, programme-led, and built around integrated multi-day care.</t>
  </si>
  <si>
    <t>Tulah at One&amp;Only Royal Mirage</t>
  </si>
  <si>
    <t>HNW, Affluent Wellness, Medical Tourism, High Performance / Biohacker, Corporate Wellness, UHNW</t>
  </si>
  <si>
    <t>Opportunistic Hotel Guest, Medical Recovery, Individual Wellness, High Performance, Family / Multi-Gen, Corporate</t>
  </si>
  <si>
    <t>This option proves Tulah does not automatically translate well into a resort-embedded format.</t>
  </si>
  <si>
    <t>Even at 40,000 sq ft, the programme would sit inside a much larger hotel ecosystem.</t>
  </si>
  <si>
    <t>It widens format, but at the cost of model integrity - proof that not all growth is good.</t>
  </si>
  <si>
    <t>Useful as a feeder or visibility expression, but the resort format risks fragmenting Tulah unless anchored to Kerala.</t>
  </si>
  <si>
    <t>⚠️ SHEET RESERVED FOR =CLAUDE... FUNCTIONS. DO NOT EDIT! ⚠️</t>
  </si>
  <si>
    <t>Key</t>
  </si>
  <si>
    <t>Value</t>
  </si>
  <si>
    <t>Expiration</t>
  </si>
  <si>
    <t>Comparator Benchmark Analysis</t>
  </si>
  <si>
    <t>1.  Built Form &amp; Capacity</t>
  </si>
  <si>
    <t>Benchmark Measure</t>
  </si>
  <si>
    <t>Benchmark Basis</t>
  </si>
  <si>
    <t>Overall</t>
  </si>
  <si>
    <t>Mothership</t>
  </si>
  <si>
    <t>Embedded</t>
  </si>
  <si>
    <t>Dubai</t>
  </si>
  <si>
    <t>Contextual Notes</t>
  </si>
  <si>
    <t>Avg</t>
  </si>
  <si>
    <t>Median</t>
  </si>
  <si>
    <t>Range</t>
  </si>
  <si>
    <t>Wellness / clinical area (sq ft)</t>
  </si>
  <si>
    <t>Comparator measure: stated wellness / clinical area (sq ft).</t>
  </si>
  <si>
    <t>840.0 - 86111.3</t>
  </si>
  <si>
    <t>32291.7 - 86111.3</t>
  </si>
  <si>
    <t>840.0 - 43000.0</t>
  </si>
  <si>
    <t>6800.0 - 41000.0</t>
  </si>
  <si>
    <t>Key anchors: CLP Montreux, Chenot Palace, SHA Spain, Lanserhof Lans, CLP Longevity Hub Dubai, Chenot Espace. Model area sits below large motherships but within a plausible embedded / upper-mid comparator band.</t>
  </si>
  <si>
    <t>Wellness &amp; clinical rooms (count)</t>
  </si>
  <si>
    <t>Comparator measure: clinical &amp; treatment rooms (count).</t>
  </si>
  <si>
    <t>0.0 - 110.0</t>
  </si>
  <si>
    <t>14.0 - 110.0</t>
  </si>
  <si>
    <t>0.0 - 29.0</t>
  </si>
  <si>
    <t>8.0 - 29.0</t>
  </si>
  <si>
    <t>Embedded anchors: CLP Long Hub Dubai (29), Chenot Espace (28), Lanserhof London, AEON Dubai, Kempinski Longevity Dubai. Room count should be judged primarily against embedded analogues, not full mothership campuses.</t>
  </si>
  <si>
    <t>Wellness &amp; clinical rooms per 10,000 sq ft</t>
  </si>
  <si>
    <t>Comparator measure: treatment rooms per 10,000 sq ft of stated wellness / clinical area.</t>
  </si>
  <si>
    <t>1.9 - 18.0</t>
  </si>
  <si>
    <t>4.1 - 18.0</t>
  </si>
  <si>
    <t>1.9 - 11.9</t>
  </si>
  <si>
    <t>3.2 - 7.1</t>
  </si>
  <si>
    <t>Use alongside the row above to translate room count into spatial density rather than absolute count only. Helpful for sense-checking density without relying on the invalid room-size proxy.</t>
  </si>
  <si>
    <t>2.  Clinical Depth &amp; Medical Offer</t>
  </si>
  <si>
    <t>Specialist facilities / equipment count (total)</t>
  </si>
  <si>
    <t>Comparator measure: total documented specialist facilities / equipment items, standardised across diagnostics, labs, regenerative, IV, biohacking, aesthetics and movement categories.</t>
  </si>
  <si>
    <t>0.0 - 54.0</t>
  </si>
  <si>
    <t>5.0 - 54.0</t>
  </si>
  <si>
    <t>4.0 - 26.0</t>
  </si>
  <si>
    <t>0.0 - 26.0</t>
  </si>
  <si>
    <t>Standouts: CLP Montreux, Chenot Palace, SHA Spain, Lanserhof Lans; embedded comparators include CLP Long Hub Dubai and Lanserhof London. Specialist facility count is a directional proxy for clinical depth and capex intensity, not a direct cost conversion.</t>
  </si>
  <si>
    <t>Specialist facilities / equipment category mix</t>
  </si>
  <si>
    <t>Comparator measure: average documented counts by category (stacked summary text).</t>
  </si>
  <si>
    <t>Diagnostics: 5.7
Labs: 1.2
Regenerative: 1.4
IV / infusion: 1.4
Tech / biohacking: 4.0
Medical aesthetics: 5.5
Movement / performance: 2.6</t>
  </si>
  <si>
    <t>Diagnostics: 11.0
Labs: 2.2
Regenerative: 3.3
IV / infusion: 1.3
Tech / biohacking: 5.2
Medical aesthetics: 8.7
Movement / performance: 3.3</t>
  </si>
  <si>
    <t>Diagnostics: 3.6
Labs: 0.8
Regenerative: 0.8
IV / infusion: 1.2
Tech / biohacking: 4.4
Medical aesthetics: 4.5
Movement / performance: 3.2</t>
  </si>
  <si>
    <t>Diagnostics: 3.5
Labs: 1.0
Regenerative: 0.8
IV / infusion: 1.3
Tech / biohacking: 3.7
Medical aesthetics: 5.8
Movement / performance: 0.7</t>
  </si>
  <si>
    <t>Shows what the “specialist facilities” totals actually consist of at category level. Use to distinguish diagnostic-heavy, aesthetics-heavy, and broader longevity-tech models.</t>
  </si>
  <si>
    <t>External medical partnerships / referral links</t>
  </si>
  <si>
    <t>Comparator measure: share of operators with some stated external medical partnership, referral reliance, or outsourced clinical dependency.</t>
  </si>
  <si>
    <t>Motherships more often use external partners for research, overflow referral, or specialist support; embedded expressions more often rely on external labs, hospital backup, imaging, or referral pathways. Medical ecosystem reliance affects how transferable “clinical depth” is into an embedded format.</t>
  </si>
  <si>
    <t>3.  Workforce &amp; Operating Intensity</t>
  </si>
  <si>
    <t>On-site doctors / physicians (count)</t>
  </si>
  <si>
    <t>Comparator measure: on-site doctors / physicians (count).</t>
  </si>
  <si>
    <t>0.0 - 55.0</t>
  </si>
  <si>
    <t>0.0 - 16.0</t>
  </si>
  <si>
    <t>1.0 - 15.0</t>
  </si>
  <si>
    <t>Useful doctor-count anchors: CLP Long Hub Dubai, Next Health Dubai, DNA DIFC, AEON Dubai, Lanserhof London. Absolute doctor count is useful, but doctor intensity per room is usually more transferable than raw headcount.</t>
  </si>
  <si>
    <t>Supporting practitioners (derived non-doctor count)</t>
  </si>
  <si>
    <t>Comparator measure: total specialists less doctors, only where both figures are disclosed.</t>
  </si>
  <si>
    <t>1.0 - 320.0</t>
  </si>
  <si>
    <t>42.0 - 320.0</t>
  </si>
  <si>
    <t>3.0 - 24.0</t>
  </si>
  <si>
    <t>1.0 - 24.0</t>
  </si>
  <si>
    <t>Useful practitioner anchors: CLP Long Hub Dubai, Chenot Espace, Lanserhof London, Next Health formats. This is directionally comparable, but not perfectly like-for-like with the model definition.</t>
  </si>
  <si>
    <t>Doctors / treatment room</t>
  </si>
  <si>
    <t>Comparator measure: on-site doctors per clinical &amp; treatment room.</t>
  </si>
  <si>
    <t>0.0 - 1.1</t>
  </si>
  <si>
    <t>0.0 - 0.8</t>
  </si>
  <si>
    <t>0.1 - 0.2</t>
  </si>
  <si>
    <t>This is the most useful physician intensity metric for format translation. Use this more than absolute doctor count when translating staffing logic into an embedded format.</t>
  </si>
  <si>
    <t>Supporting practitioners / treatment room</t>
  </si>
  <si>
    <t>Comparator measure: derived non-doctor practitioners per clinical &amp; treatment room.</t>
  </si>
  <si>
    <t>0.1 - 3.6</t>
  </si>
  <si>
    <t>0.9 - 3.6</t>
  </si>
  <si>
    <t>0.8 - 3.0</t>
  </si>
  <si>
    <t>0.1 - 0.9</t>
  </si>
  <si>
    <t>This is the better service-density benchmark than practitioner headcount alone. Use this to judge whether the operating model is practitioner-heavy or doctor-heavy relative to capacity.</t>
  </si>
  <si>
    <t>4.  Programme Benchmarks</t>
  </si>
  <si>
    <t>Programme duration (days)</t>
  </si>
  <si>
    <t>Comparator measure: midpoint programme duration for Avg / Median; Range shows full min-to-max programme duration spread.</t>
  </si>
  <si>
    <t>1.0 - 84.0</t>
  </si>
  <si>
    <t>1.0 - 7.0</t>
  </si>
  <si>
    <t>1.0 - 30.0</t>
  </si>
  <si>
    <t>Range comments include min/max duration examples. Sohum updated to 8 programmes, 3-day minimum, and revised pricing. Duration range is more useful than simple average alone because embedded offers often compress the lower bound while keeping some long-stay outliers.</t>
  </si>
  <si>
    <t>Programme total price ($)</t>
  </si>
  <si>
    <t>Comparator measure: midpoint programme total price for Avg / Median; Range shows full min-to-max programme price spread.</t>
  </si>
  <si>
    <t>$99.0 - $20,150.0</t>
  </si>
  <si>
    <t>$338.0 - $14,535.0</t>
  </si>
  <si>
    <t>$270.0 - $20,150.0</t>
  </si>
  <si>
    <t>$270.0 - $885.0</t>
  </si>
  <si>
    <t>Range comments include pricing examples and associated durations where relevant. Total package price should be read alongside duration; price/day is the cleaner cross-format comparison.</t>
  </si>
  <si>
    <t>Programme price / day ($ / day)</t>
  </si>
  <si>
    <t>Comparator measure: derived midpoint of min/day and max/day. Range shows full min-to-max programme price/day spread.</t>
  </si>
  <si>
    <t>$27.2 - $7,267.5</t>
  </si>
  <si>
    <t>$338.0 - $7,267.5</t>
  </si>
  <si>
    <t>$135.0 - $2,400.0</t>
  </si>
  <si>
    <t>$27.2 - $885.0</t>
  </si>
  <si>
    <t>Best single cross-format pricing comparison. This is the most decision-useful pricing translation metric when comparing motherships to embedded expressions.</t>
  </si>
  <si>
    <t>Programme options / programmes offered (count)</t>
  </si>
  <si>
    <t>Comparator measure: count of listed formal programme options per operator.</t>
  </si>
  <si>
    <t>0.0 - 14.0</t>
  </si>
  <si>
    <t>5.0 - 14.0</t>
  </si>
  <si>
    <t>0.0 - 8.0</t>
  </si>
  <si>
    <t>1.0 - 8.0</t>
  </si>
  <si>
    <t>Restored because programme count is needed to judge scale / breadth of the offer. Treatments count and membership tiers already provide equivalent scale markers in those sections.</t>
  </si>
  <si>
    <t>Room-rate integration (% with some integration)</t>
  </si>
  <si>
    <t>Comparator measure: share of operators with some published room-rate integration into the wellness / programme offer.</t>
  </si>
  <si>
    <t>Types found include room-included programmes, package-linked room categories, bundled nights, and room inventory locked to particular programme pools. Useful for understanding whether residential pricing already embeds accommodation or sits beside it.</t>
  </si>
  <si>
    <t>Multi-day programmes (% of examples with &gt;1-day programmes)</t>
  </si>
  <si>
    <t>Comparator measure: share of operators in each grouping that offer any formal programme lasting more than a single day.</t>
  </si>
  <si>
    <t>Helps separate operators with genuine multi-day journey architecture from those that are primarily day-use, treatment-led, or membership-led. Comments list qualifying examples and their duration ranges by grouping.</t>
  </si>
  <si>
    <t>5.  Treatment Benchmarks</t>
  </si>
  <si>
    <t>À la carte treatments offered (count)</t>
  </si>
  <si>
    <t>Comparator measure: count of listed à la carte treatments.</t>
  </si>
  <si>
    <t>18.0 - 210.0</t>
  </si>
  <si>
    <t>44.0 - 210.0</t>
  </si>
  <si>
    <t>18.0 - 70.0</t>
  </si>
  <si>
    <t>26.0 - 65.0</t>
  </si>
  <si>
    <t>This shows breadth of day-use monetisation rather than pricing. Useful for understanding how extensive the non-residential menu is.</t>
  </si>
  <si>
    <t>Treatment face-value price ($)</t>
  </si>
  <si>
    <t>Comparator measure: midpoint face-value treatment price for Avg / Median; Range shows full min-to-max treatment price spread.</t>
  </si>
  <si>
    <t>$25.0 - $390.0</t>
  </si>
  <si>
    <t>$43.0 - $390.0</t>
  </si>
  <si>
    <t>$25.0 - $300.0</t>
  </si>
  <si>
    <t>Use treatment pricing from urban / embedded comparators as the best directional check on day-use spend. This is not like-for-like with blended realised spend, but it is the clearest published comparator for treatment pricing.</t>
  </si>
  <si>
    <t>6.  Membership Benchmarks</t>
  </si>
  <si>
    <t>Membership presence (% with memberships)</t>
  </si>
  <si>
    <t>Comparator measure: share of operators with some published membership structure.</t>
  </si>
  <si>
    <t>Range-cell comments list those with memberships and those without, for quick reference. Shows whether the category is genuinely membership-led or mainly transaction / programme-led.</t>
  </si>
  <si>
    <t>Membership tiers (count)</t>
  </si>
  <si>
    <t>Comparator measure: number of published membership tiers.</t>
  </si>
  <si>
    <t>0.0 - 6.0</t>
  </si>
  <si>
    <t>0.0 - 1.0</t>
  </si>
  <si>
    <t>0.0 - 5.0</t>
  </si>
  <si>
    <t>Counts only. This row should not pull from any pricing fields. Useful for seeing how simple or layered comparator membership structures are.</t>
  </si>
  <si>
    <t>Membership price ($ / month)</t>
  </si>
  <si>
    <t>Comparator measure: midpoint monthly membership price for Avg / Median; Range shows full min-to-max monthly price spread.</t>
  </si>
  <si>
    <t>$99.0 - $794.0</t>
  </si>
  <si>
    <t>$545.0 - $794.0</t>
  </si>
  <si>
    <t>Monthly comparator pricing is often more available than annual club-fee analogues. Use as a directional market read rather than a direct model-input benchmark.</t>
  </si>
  <si>
    <t>Membership price ($ / year, annualised)</t>
  </si>
  <si>
    <t>Comparator measure: annualised midpoint monthly membership price. Range shows full min-to-max annualised price spread.</t>
  </si>
  <si>
    <t>$1,188.0 - $9,528.0</t>
  </si>
  <si>
    <t>$6,540.0 - $9,528.0</t>
  </si>
  <si>
    <t>Annualised for rough directional comparison only. Use directionally only: many comparator memberships are structured monthly rather than as like-for-like annual club fees.</t>
  </si>
  <si>
    <t>Joining / initiation fee ($)</t>
  </si>
  <si>
    <t>Comparator measure: published joining / initiation fee only.</t>
  </si>
  <si>
    <t>$945.0 - $2,600.0</t>
  </si>
  <si>
    <t>Only explicit joining / initiation fees are counted here; property purchase references and minimum commitments are excluded. Comparator evidence is patchy and often absent, so this row is contextual rather than determinative.</t>
  </si>
  <si>
    <t>Brand</t>
  </si>
  <si>
    <t>Group</t>
  </si>
  <si>
    <t>Area (sqft)</t>
  </si>
  <si>
    <t>Treatment Rooms</t>
  </si>
  <si>
    <t>RoomsPer10k</t>
  </si>
  <si>
    <t>SpecFacilities</t>
  </si>
  <si>
    <t>ExtPartnerFlag</t>
  </si>
  <si>
    <t>Doctors</t>
  </si>
  <si>
    <t>Practitioners</t>
  </si>
  <si>
    <t>DoctorsPerRoom</t>
  </si>
  <si>
    <t>PracPerRoom</t>
  </si>
  <si>
    <t>Programmes</t>
  </si>
  <si>
    <t>ProgMinDur</t>
  </si>
  <si>
    <t>ProgMaxDur</t>
  </si>
  <si>
    <t>ProgMidDur</t>
  </si>
  <si>
    <t>ProgMinPrice</t>
  </si>
  <si>
    <t>ProgMaxPrice</t>
  </si>
  <si>
    <t>ProgMidPrice</t>
  </si>
  <si>
    <t>ProgMinDay</t>
  </si>
  <si>
    <t>ProgMaxDay</t>
  </si>
  <si>
    <t>ProgAvgDay</t>
  </si>
  <si>
    <t>RoomRateInt</t>
  </si>
  <si>
    <t>RoomRateDetail</t>
  </si>
  <si>
    <t>Treatments</t>
  </si>
  <si>
    <t>TreatMin</t>
  </si>
  <si>
    <t>TreatMax</t>
  </si>
  <si>
    <t>TreatMid</t>
  </si>
  <si>
    <t>MemberPresence</t>
  </si>
  <si>
    <t>MemberTiers</t>
  </si>
  <si>
    <t>JoiningFee</t>
  </si>
  <si>
    <t>MemberMinMo</t>
  </si>
  <si>
    <t>MemberMaxMo</t>
  </si>
  <si>
    <t>MemberMidMo</t>
  </si>
  <si>
    <t>MemberMinAnnual</t>
  </si>
  <si>
    <t>MemberMaxAnnual</t>
  </si>
  <si>
    <t>MemberMidAnnual</t>
  </si>
  <si>
    <t>ExtPartnerNote</t>
  </si>
  <si>
    <t>PrimaryType</t>
  </si>
  <si>
    <t>SecondaryType</t>
  </si>
  <si>
    <t>Detail</t>
  </si>
  <si>
    <t>Diag</t>
  </si>
  <si>
    <t>Labs</t>
  </si>
  <si>
    <t>Regen</t>
  </si>
  <si>
    <t>IV</t>
  </si>
  <si>
    <t>Tech</t>
  </si>
  <si>
    <t>Aesth</t>
  </si>
  <si>
    <t>Move</t>
  </si>
  <si>
    <t>Research-driven, no delivery partners: Clinique La Prairie is largely self-contained clinically but collaborates with nearby Swiss research institutions for scientific development and programme validation. Key partners i</t>
  </si>
  <si>
    <t>1. Revitalisation — 7 days / 6 nights — from ~$37.7k 2. Master Detox — 7 days / 6 nights — from ~$24.5k 3. Detox Reset — 5 days / 4 nights — from ~$14.5k 4. Healthy Weight — 7 or 14 days / 6–13 nights — from ~$25.2k (14-day from ~$47.7k) 5. Brain Health — 7 da</t>
  </si>
  <si>
    <t>Integration occurs primarily at suite level (including a complementary Longevity Index assessment) and through curated hotel packages: 1. Za’abeel &amp; Grand Za’abeel Rooms: No Longevity treatments included (Movement Studio</t>
  </si>
  <si>
    <t>1. City Wellness Retreat – 4 days / 3 nights — No price listed Three 'signature experiences' (details derived by email): 1. Energize — 210 mins (3h 30m) — AED 3,200 (~$870) 45-min Longevity Index + 15-min cryotherapy + 60-min revitalization massage + 45-min Em</t>
  </si>
  <si>
    <t>Tulah is effectively room-rate integrated. Guests are priced per night by Journey type, room category, occupancy and duration, but the nightly rate bundles accommodation, three personalised meals per day, doctor consulta</t>
  </si>
  <si>
    <t>Meitra Hospital, Tulah’s JCI-accredited sister hospital, sits ~20 minutes away and provides overflow / specialist support. Brochures cite access to advanced imaging, medical technology and 200+ specialists when needed; t</t>
  </si>
  <si>
    <t>Pricing is room-night–based rather than programme-based, with totals determined by Journey type (Wellness vs Clinical), room category, occupancy and duration. Per-night ranges are approximately: • $1.15k–$4.0k for Wellness Journeys, and • $1.55k–$4.7k for Clin</t>
  </si>
  <si>
    <t>Programmes and rooms are priced entirely separately: guests pay a fixed per-person programme fee and add a per-night room rate, with both itemised independently. There is no bundled or all-inclusive pricing, allowing fle</t>
  </si>
  <si>
    <t>1. Advanced Detox — 7 days / 6 nights — from ~$9.4k total stay (Programme ~$6.2k + entry room ~$3.2k) 2. Recover &amp; Energise — 7 days / 6 nights — from ~$10.4k total stay (Programme ~$7.2k + entry room ~$3.2k) 3. Prevention &amp; Ageing Well — 7 days / 6 nights — f</t>
  </si>
  <si>
    <t>accommodation and Chenot programmes operate on a deliberately unbundled model. The room rate includes only core resort access (pools, gym, sauna/steam, beach, breakfast), while all Chenot programmes, diagnostics, treatme</t>
  </si>
  <si>
    <t>1. Advanced Detox — 6 days / 7 nights — from ~$4.6k Flagship metabolic reset; full biomarker diagnostics, daily hydrotherapy circuit (phyto-mud, hydro-jet, hydro-aromatherapy), energetic massages and bio-energetic treatments under medical supervision. 2. De-St</t>
  </si>
  <si>
    <t>Accommodation priced separately from programmes but integrated: 1. Programme pricing excludes accommodation — guests select suite independently. 2. All programmes include full-board macrobiotic nutrition (3 meals/day + m</t>
  </si>
  <si>
    <t>1. Stay Your Way — 3–7+ nights — from ~€2,895 (3 nights) to ~€6,755 (7 nights) Flexible, build-your-own framework; core diagnostics, medical consult, personalised nutrition and hydrotherapy access, with treatments added à la carte. (From €965 per guest/night.)</t>
  </si>
  <si>
    <t>Details not yet published for SHA Emirates (under construction). Expected model based on SHA Spain: 1. Programme pricing separate from accommodation — guests select suite independently. 2. All programmes include full-boa</t>
  </si>
  <si>
    <t>Programme pricing and accommodation are separate, allowing guests to choose room independently: 1. Programme fee: covers medical consultations, therapies, treatments as per programme (e.g., Cure Classic 7n €2,514, Cure A</t>
  </si>
  <si>
    <t>Core detox programmes 1. Lanserhof Cure Classic — 7–21 nights — from ~€2.9k–€6.1k Foundational Mayr detox and gut regeneration programme; physician consultations, therapeutic massage, detox drainage, algae pack with liver wrap, foot reflexology, Kneipp therapy</t>
  </si>
  <si>
    <t xml:space="preserve">N/A — Lanserhof at The Arts Club is a day-visit urban clinic with no accommodation. Revenue is driven by membership fees, à la carte treatments and programme fees. However, all Lanserhof at The Arts Club members receive </t>
  </si>
  <si>
    <t>Lanserhof at The Arts Club maintains formal fast-track referral partnerships with two major London hospital providers: HCA Healthcare UK — including The Wellington Hospital, The London Bridge Hospital, The Princess Grace</t>
  </si>
  <si>
    <t>1. LIFE — Lanserhof Integrative Fasting Experience (7/14/21 days): Signature medically-supervised fasting programme based on LANS Med Concept (F.X. Mayr method). Includes initial lifestyle consultation, follow-up, nurse assessments, comprehensive functional bl</t>
  </si>
  <si>
    <t xml:space="preserve">Strong room-rate integration — The Spa at Mandarin Oriental Hyde Park is a core amenity of the hotel and a significant driver of guest satisfaction and premium room rates. • Hotel guests have complimentary access to the </t>
  </si>
  <si>
    <t>Formal clinical partnership with the Institute of Sport, Exercise &amp; Health (ISEH) providing off-site cardiology and performance diagnostics (ECG, echocardiography, CPET, isokinetic testing, force plates) and sports medic</t>
  </si>
  <si>
    <t>BodySpace Intensive Optimisation Programmes: 1. 6-Week Optimisation Programme — £3,240: • One lifestyle performance profile assessment • One body and movement analysis • One nutritional consultation and follow-up • 60-day nutrition plan + 30-day personalised s</t>
  </si>
  <si>
    <t>Full room-rate integration — the spa is the core of the resort proposition, not an amenity. • All hotel guests have complimentary access to the 5,000 sqm Lefay SPA World including pools, saunas, fitness centre, relaxatio</t>
  </si>
  <si>
    <t xml:space="preserve">Lefay SPA Method Programmes (excl. accommodation): 1. Active &amp; Balance — 5 nights (€2,590): full board with Lefay SPA Menu, welcome body scrub, medical examination with acupuncture, fitness consultation, phytotherapy, 5 themed days (Green Dragon, Red Phoenix, </t>
  </si>
  <si>
    <t>Partial room-rate integration — mixed model: • Hotel guests: complimentary access to gym, movement studio, swimming pool, vitality pool, sauna, steam room, experience showers, and group exercise classes. Gym available 24</t>
  </si>
  <si>
    <t>Pillar Wellbeing "Transformation Programme" (launched January 2026): Duration: 12 weeks (3 months) Price: from £15,500 (~$20,150) for the full programme (excl. accommodation) Included: • Personal Wellbeing Assessment: weight, body composition, cardiovascular f</t>
  </si>
  <si>
    <t>Partial room-rate integration via the AEON Longevity Stay Package: • 30% discount on rooms, suites, and signature penthouses at Atlantis The Royal when booking the AEON Longevity Stay Package (2-5 nights) • Package inclu</t>
  </si>
  <si>
    <t>1. AEON Rejuvenescence Programme (Flagship Longevity Programme) Signature regenerative longevity programme offered in 3-, 5-, or 7-day formats, combining advanced diagnostics (DNA, epigenome and telomere testing), personalised IV infusions, HBOT, ozone therapy</t>
  </si>
  <si>
    <t>Standalone</t>
  </si>
  <si>
    <t>Not applicable — Next Health West Hollywood is a standalone urban clinic with no hotel component. There are no room rates, hotel packages, or accommodation tie-ins. For context, Next Health does have a location at Atlant</t>
  </si>
  <si>
    <t>Operates a hybrid model: core longevity treatments are delivered in-house, while advanced diagnostics rely on external partners. Imaging: Full-Body MRI likely conducted via Prenuvo; CT scans (chest, calcium score) referr</t>
  </si>
  <si>
    <t>Next Health does not offer fixed multi-day residential programmes. Instead, it operates a membership + à-la-carte model, where clients build personalised health protocols through recurring visits. Structured Offerings 1. Executive Physical ($14,500–$15,995 — 1</t>
  </si>
  <si>
    <t xml:space="preserve">No room-rate integration exists between Next Health Dubai and Sonder Business Bay despite being co-located in the same tower (SAAS Tower). Next Health occupies Shop 1 (ground-floor retail unit) as an independent tenant. </t>
  </si>
  <si>
    <t>Next Health Dubai operates largely self-contained for core longevity and wellness services, but relies on unnamed external partners for certain specialised functions. These include advanced imaging (MRI and CT scans) ref</t>
  </si>
  <si>
    <t>Next Health Dubai does not offer fixed multi-day residential programmes. Instead, like the LA flagship, it operates a membership + à-la-carte model, where clients build personalised longevity protocols through recurring visits. Structured Offerings 1. Executiv</t>
  </si>
  <si>
    <t>Next Health services at Four Seasons Resort Maui are separately priced and billed — they are NOT included in room rates or resort packages. Booking: Appointments required, booked by calling the resort at (808) 874-8000 o</t>
  </si>
  <si>
    <t>Next Health at Four Seasons Maui does not offer structured multi-day programmes. All services are available on an individual, à la carte basis. The closest to a "programme" offering is: 1. JET LAG RELIEF PACK — a curated combination of IV Hydration + Glutathio</t>
  </si>
  <si>
    <t>No specific room + wellness package has been publicly identified for Longevity at Kempinski The Boulevard Dubai. Longevity operates as the hotel's named spa partner (listed as "Longevity Spa &amp; Wellness" on Kempinski.com)</t>
  </si>
  <si>
    <t>No formal hospital or institutional medical partnerships are publicly disclosed. The only confirmed external collaboration is with Thermography Clinic Milton, a Canadian thermography provider that operates visiting pop-u</t>
  </si>
  <si>
    <t>Longevity offers 5 core programmes — Anti-Aging, Optimal Weight, Advanced Detox, Perform, and Relax — with the brochures clearly detailing the 1-day formats and pricing, while the 7-day versions are referenced more broadly but without published pricing. The br</t>
  </si>
  <si>
    <t>Not applicable — Sohum Wellness Sanctuary is a standalone day sanctuary with no accommodation. There are no room rates to integrate. Guests visiting for multi-day Holistic Wellness Retreats (7-21 days) must arrange their</t>
  </si>
  <si>
    <t>HOLISTIC WELLNESS RETREATS (Multi-Day, per treatment menu page 12): 1. PAIN MANAGEMENT RETREAT (7 or 14 days, AED 5,500 / AED 9,000) — personalised natural therapies, herbal oils, detoxification for lasting pain relief 2. WEIGHT MANAGEMENT RETREAT (14 or 21 da</t>
  </si>
  <si>
    <t xml:space="preserve">Not applicable — DNA Health DIFC operates as a standalone clinic within a commercial walkway (Gate Avenue), not within a hotel. NEARBY HOTEL CONTEXT: DIFC is home to several luxury hotels within walking distance of Gate </t>
  </si>
  <si>
    <t>Mubadala Health is the only publicly named clinical partner, providing advanced imaging services (Full-Body MRI, DEXA scans, and CT coronary calcium scoring) that are not available on-site at the DIFC clinic. Other exter</t>
  </si>
  <si>
    <t>All programmes are available across DNA Health clinics (uniform offering). Programmes offered at DIFC: WEIGHT LOSS PROGRAMMES (via weightlossclinic.ae, led by Dr. Al Jafari): 1. GET-IN-SHAPE (1 month, AED 3,000) — lose up to 6 kg; functional testing, bespoke 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</si>
</sst>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
    <numFmt numFmtId="166" formatCode="yyyy/m"/>
    <numFmt numFmtId="167" formatCode="\$#,##0.0"/>
  </numFmts>
  <fonts count="19">
    <font>
      <sz val="11.0"/>
      <color theme="1"/>
      <name val="Calibri"/>
      <scheme val="minor"/>
    </font>
    <font>
      <u/>
      <sz val="10.0"/>
      <color rgb="FFFFFFFF"/>
      <name val="Arial"/>
    </font>
    <font>
      <b/>
      <sz val="10.0"/>
      <color rgb="FFFFFFFF"/>
      <name val="Arial"/>
    </font>
    <font/>
    <font>
      <b/>
      <sz val="9.0"/>
      <color rgb="FFFFFFFF"/>
      <name val="Arial"/>
    </font>
    <font>
      <b/>
      <sz val="9.0"/>
      <color rgb="FF1A1F2E"/>
      <name val="Arial"/>
    </font>
    <font>
      <sz val="9.0"/>
      <color rgb="FF1A1F2E"/>
      <name val="Arial"/>
    </font>
    <font>
      <b/>
      <sz val="9.0"/>
      <color theme="1"/>
      <name val="Arial"/>
    </font>
    <font>
      <sz val="9.0"/>
      <color theme="1"/>
      <name val="Arial"/>
    </font>
    <font>
      <sz val="11.0"/>
      <color theme="1"/>
      <name val="Calibri"/>
    </font>
    <font>
      <sz val="10.0"/>
      <color rgb="FF1A1F2E"/>
      <name val="Arial"/>
    </font>
    <font>
      <b/>
      <sz val="9.0"/>
      <color rgb="FF0D2137"/>
      <name val="Arial"/>
    </font>
    <font>
      <sz val="9.0"/>
      <color rgb="FF0D2137"/>
      <name val="Arial"/>
    </font>
    <font>
      <sz val="11.0"/>
      <color theme="1"/>
      <name val="Arial"/>
    </font>
    <font>
      <b/>
      <sz val="11.0"/>
      <color theme="1"/>
      <name val="Calibri"/>
    </font>
    <font>
      <b/>
      <sz val="13.0"/>
      <color rgb="FFFFFFFF"/>
      <name val="Arial"/>
    </font>
    <font>
      <sz val="11.0"/>
      <color rgb="FF000000"/>
      <name val="Arial"/>
    </font>
    <font>
      <sz val="1.0"/>
      <color theme="1"/>
      <name val="Arial"/>
    </font>
    <font>
      <b/>
      <sz val="9.0"/>
      <color rgb="FFFFFFFF"/>
      <name val="Calibri"/>
    </font>
  </fonts>
  <fills count="13">
    <fill>
      <patternFill patternType="none"/>
    </fill>
    <fill>
      <patternFill patternType="lightGray"/>
    </fill>
    <fill>
      <patternFill patternType="solid">
        <fgColor rgb="FF1A1F2E"/>
        <bgColor rgb="FF1A1F2E"/>
      </patternFill>
    </fill>
    <fill>
      <patternFill patternType="solid">
        <fgColor rgb="FF2D3748"/>
        <bgColor rgb="FF2D3748"/>
      </patternFill>
    </fill>
    <fill>
      <patternFill patternType="solid">
        <fgColor rgb="FF4A5568"/>
        <bgColor rgb="FF4A5568"/>
      </patternFill>
    </fill>
    <fill>
      <patternFill patternType="solid">
        <fgColor rgb="FFF0F4F8"/>
        <bgColor rgb="FFF0F4F8"/>
      </patternFill>
    </fill>
    <fill>
      <patternFill patternType="solid">
        <fgColor rgb="FFFFFFFF"/>
        <bgColor rgb="FFFFFFFF"/>
      </patternFill>
    </fill>
    <fill>
      <patternFill patternType="solid">
        <fgColor rgb="FFE2E8F0"/>
        <bgColor rgb="FFE2E8F0"/>
      </patternFill>
    </fill>
    <fill>
      <patternFill patternType="solid">
        <fgColor rgb="FF1A3A5C"/>
        <bgColor rgb="FF1A3A5C"/>
      </patternFill>
    </fill>
    <fill>
      <patternFill patternType="solid">
        <fgColor rgb="FFEBF5FB"/>
        <bgColor rgb="FFEBF5FB"/>
      </patternFill>
    </fill>
    <fill>
      <patternFill patternType="solid">
        <fgColor rgb="FFF5FAFD"/>
        <bgColor rgb="FFF5FAFD"/>
      </patternFill>
    </fill>
    <fill>
      <patternFill patternType="solid">
        <fgColor rgb="FFF7FAFC"/>
        <bgColor rgb="FFF7FAFC"/>
      </patternFill>
    </fill>
    <fill>
      <patternFill patternType="solid">
        <fgColor rgb="FFEDF2F7"/>
        <bgColor rgb="FFEDF2F7"/>
      </patternFill>
    </fill>
  </fills>
  <borders count="39">
    <border/>
    <border>
      <left style="medium">
        <color rgb="FF777777"/>
      </left>
      <right/>
      <top/>
      <bottom style="thin">
        <color rgb="FF555555"/>
      </bottom>
    </border>
    <border>
      <left/>
      <top/>
      <bottom style="thin">
        <color rgb="FF555555"/>
      </bottom>
    </border>
    <border>
      <top/>
      <bottom style="thin">
        <color rgb="FF555555"/>
      </bottom>
    </border>
    <border>
      <right style="medium">
        <color rgb="FF94A3B8"/>
      </right>
      <top/>
      <bottom style="thin">
        <color rgb="FF555555"/>
      </bottom>
    </border>
    <border>
      <left style="medium">
        <color rgb="FFAAAAAA"/>
      </left>
      <top/>
      <bottom style="thin">
        <color rgb="FF555555"/>
      </bottom>
    </border>
    <border>
      <left style="medium">
        <color rgb="FF777777"/>
      </left>
      <top/>
      <bottom style="thin">
        <color rgb="FF555555"/>
      </bottom>
    </border>
    <border>
      <left style="medium">
        <color rgb="FF888888"/>
      </left>
      <right style="thin">
        <color rgb="FF888888"/>
      </right>
      <top style="thin">
        <color rgb="FF888888"/>
      </top>
      <bottom style="medium">
        <color rgb="FF999999"/>
      </bottom>
    </border>
    <border>
      <left style="thin">
        <color rgb="FF888888"/>
      </left>
      <right style="thin">
        <color rgb="FF888888"/>
      </right>
      <top style="thin">
        <color rgb="FF888888"/>
      </top>
      <bottom style="medium">
        <color rgb="FF999999"/>
      </bottom>
    </border>
    <border>
      <left/>
      <right style="medium">
        <color rgb="FF94A3B8"/>
      </right>
      <top style="thin">
        <color rgb="FF888888"/>
      </top>
      <bottom style="medium">
        <color rgb="FF999999"/>
      </bottom>
    </border>
    <border>
      <left style="medium">
        <color rgb="FFAAAAAA"/>
      </left>
      <right style="thin">
        <color rgb="FF888888"/>
      </right>
      <top style="thin">
        <color rgb="FF888888"/>
      </top>
      <bottom style="medium">
        <color rgb="FF999999"/>
      </bottom>
    </border>
    <border>
      <left/>
      <right style="medium">
        <color rgb="FF94A3B8"/>
      </right>
      <top/>
      <bottom style="medium">
        <color rgb="FF999999"/>
      </bottom>
    </border>
    <border>
      <left style="medium">
        <color rgb="FF888888"/>
      </left>
      <right style="thin">
        <color rgb="FF888888"/>
      </right>
      <top/>
      <bottom style="medium">
        <color rgb="FF999999"/>
      </bottom>
    </border>
    <border>
      <left style="thin">
        <color rgb="FF888888"/>
      </left>
      <right style="thin">
        <color rgb="FF888888"/>
      </right>
      <top/>
      <bottom style="medium">
        <color rgb="FF999999"/>
      </bottom>
    </border>
    <border>
      <left style="thin">
        <color rgb="FF888888"/>
      </left>
      <right style="medium">
        <color rgb="FF94A3B8"/>
      </right>
      <top/>
      <bottom style="medium">
        <color rgb="FF999999"/>
      </bottom>
    </border>
    <border>
      <left/>
      <right style="thin">
        <color rgb="FF888888"/>
      </right>
      <top style="thin">
        <color rgb="FF888888"/>
      </top>
      <bottom style="medium">
        <color rgb="FF999999"/>
      </bottom>
    </border>
    <border>
      <left style="thin">
        <color rgb="FF888888"/>
      </left>
      <right style="medium">
        <color rgb="FF94A3B8"/>
      </right>
      <top style="thin">
        <color rgb="FF888888"/>
      </top>
      <bottom style="medium">
        <color rgb="FF999999"/>
      </bottom>
    </border>
    <border>
      <left style="medium">
        <color rgb="FF888888"/>
      </left>
      <right/>
      <top style="thin">
        <color rgb="FF888888"/>
      </top>
      <bottom style="medium">
        <color rgb="FF999999"/>
      </bottom>
    </border>
    <border>
      <left/>
      <right/>
      <top style="thin">
        <color rgb="FF888888"/>
      </top>
      <bottom style="medium">
        <color rgb="FF999999"/>
      </bottom>
    </border>
    <border>
      <left style="thin">
        <color rgb="FFCBD5E0"/>
      </left>
      <right/>
      <top style="thin">
        <color rgb="FF888888"/>
      </top>
      <bottom style="medium">
        <color rgb="FF999999"/>
      </bottom>
    </border>
    <border>
      <left style="thin">
        <color rgb="FF888888"/>
      </left>
      <right/>
      <top style="thin">
        <color rgb="FF888888"/>
      </top>
      <bottom style="medium">
        <color rgb="FF999999"/>
      </bottom>
    </border>
    <border>
      <left style="thin">
        <color rgb="FFCBD5E0"/>
      </left>
      <right style="medium">
        <color rgb="FF94A3B8"/>
      </right>
      <top style="thin">
        <color rgb="FF888888"/>
      </top>
      <bottom style="medium">
        <color rgb="FF999999"/>
      </bottom>
    </border>
    <border>
      <left/>
      <top/>
      <bottom/>
    </border>
    <border>
      <top/>
      <bottom/>
    </border>
    <border>
      <right/>
      <top/>
      <bottom/>
    </border>
    <border>
      <left/>
      <right/>
      <top/>
      <bottom/>
    </border>
    <border>
      <left/>
      <right style="medium">
        <color rgb="FF94A3B8"/>
      </right>
      <top/>
      <bottom/>
    </border>
    <border>
      <left style="thin">
        <color rgb="FFCBD5E0"/>
      </left>
      <right/>
      <top/>
      <bottom/>
    </border>
    <border>
      <left style="thin">
        <color rgb="FFCBD5E0"/>
      </left>
      <right style="medium">
        <color rgb="FF94A3B8"/>
      </right>
      <top/>
      <bottom/>
    </border>
    <border>
      <right style="medium">
        <color rgb="FF94A3B8"/>
      </right>
    </border>
    <border>
      <left style="thin">
        <color rgb="FFCBD5E0"/>
      </left>
    </border>
    <border>
      <left style="thin">
        <color rgb="FFCBD5E0"/>
      </left>
      <right style="medium">
        <color rgb="FF94A3B8"/>
      </right>
    </border>
    <border>
      <left/>
      <right/>
      <top/>
    </border>
    <border>
      <right style="medium">
        <color rgb="FF64748B"/>
      </right>
      <top/>
      <bottom/>
    </border>
    <border>
      <left/>
      <right/>
      <bottom/>
    </border>
    <border>
      <left/>
      <right style="medium">
        <color rgb="FF64748B"/>
      </right>
      <top/>
      <bottom/>
    </border>
    <border>
      <bottom style="thin">
        <color rgb="FFD9D9D9"/>
      </bottom>
    </border>
    <border>
      <left style="thin">
        <color rgb="FFCCCCCC"/>
      </left>
      <bottom style="thin">
        <color rgb="FFD9D9D9"/>
      </bottom>
    </border>
    <border>
      <left/>
      <right/>
      <top/>
      <bottom style="thin">
        <color rgb="FFD9D9D9"/>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3" fontId="2" numFmtId="0" xfId="0" applyAlignment="1" applyBorder="1" applyFill="1" applyFont="1">
      <alignment horizontal="left" shrinkToFit="0" vertical="center" wrapText="0"/>
    </xf>
    <xf borderId="3" fillId="0" fontId="3" numFmtId="0" xfId="0" applyBorder="1" applyFont="1"/>
    <xf borderId="4" fillId="0" fontId="3" numFmtId="0" xfId="0" applyBorder="1" applyFont="1"/>
    <xf borderId="5" fillId="3" fontId="2" numFmtId="0" xfId="0" applyAlignment="1" applyBorder="1" applyFont="1">
      <alignment horizontal="left" shrinkToFit="0" vertical="center" wrapText="0"/>
    </xf>
    <xf borderId="6" fillId="3" fontId="2" numFmtId="0" xfId="0" applyAlignment="1" applyBorder="1" applyFont="1">
      <alignment horizontal="left" shrinkToFit="0" vertical="center" wrapText="0"/>
    </xf>
    <xf borderId="6" fillId="3" fontId="2" numFmtId="0" xfId="0" applyAlignment="1" applyBorder="1" applyFont="1">
      <alignment horizontal="left" readingOrder="0" shrinkToFit="0" vertical="center" wrapText="0"/>
    </xf>
    <xf borderId="1" fillId="3" fontId="2" numFmtId="0" xfId="0" applyAlignment="1" applyBorder="1" applyFont="1">
      <alignment horizontal="left" shrinkToFit="0" vertical="center" wrapText="0"/>
    </xf>
    <xf borderId="7" fillId="4" fontId="4" numFmtId="0" xfId="0" applyAlignment="1" applyBorder="1" applyFill="1" applyFont="1">
      <alignment horizontal="left" shrinkToFit="0" vertical="center" wrapText="1"/>
    </xf>
    <xf borderId="8" fillId="4" fontId="4" numFmtId="0" xfId="0" applyAlignment="1" applyBorder="1" applyFont="1">
      <alignment horizontal="left" shrinkToFit="0" vertical="center" wrapText="1"/>
    </xf>
    <xf borderId="9" fillId="4" fontId="4" numFmtId="0" xfId="0" applyAlignment="1" applyBorder="1" applyFont="1">
      <alignment horizontal="left" shrinkToFit="0" vertical="center" wrapText="1"/>
    </xf>
    <xf borderId="10" fillId="4" fontId="4" numFmtId="0" xfId="0" applyAlignment="1" applyBorder="1" applyFont="1">
      <alignment horizontal="left" shrinkToFit="0" vertical="center" wrapText="1"/>
    </xf>
    <xf borderId="11" fillId="4" fontId="4" numFmtId="0" xfId="0" applyAlignment="1" applyBorder="1" applyFont="1">
      <alignment horizontal="left" shrinkToFit="0" vertical="center" wrapText="1"/>
    </xf>
    <xf borderId="12" fillId="4" fontId="4" numFmtId="0" xfId="0" applyAlignment="1" applyBorder="1" applyFont="1">
      <alignment horizontal="left" shrinkToFit="0" vertical="center" wrapText="1"/>
    </xf>
    <xf borderId="13" fillId="4" fontId="4" numFmtId="0" xfId="0" applyAlignment="1" applyBorder="1" applyFont="1">
      <alignment horizontal="left" shrinkToFit="0" vertical="center" wrapText="1"/>
    </xf>
    <xf borderId="13" fillId="4" fontId="4" numFmtId="0" xfId="0" applyAlignment="1" applyBorder="1" applyFont="1">
      <alignment horizontal="left" readingOrder="0" shrinkToFit="0" vertical="center" wrapText="1"/>
    </xf>
    <xf borderId="14" fillId="4" fontId="4" numFmtId="0" xfId="0" applyAlignment="1" applyBorder="1" applyFont="1">
      <alignment horizontal="left" shrinkToFit="0" vertical="center" wrapText="1"/>
    </xf>
    <xf borderId="15" fillId="4" fontId="4" numFmtId="0" xfId="0" applyAlignment="1" applyBorder="1" applyFont="1">
      <alignment horizontal="left" shrinkToFit="0" vertical="center" wrapText="1"/>
    </xf>
    <xf borderId="8" fillId="4" fontId="4" numFmtId="0" xfId="0" applyAlignment="1" applyBorder="1" applyFont="1">
      <alignment horizontal="left" readingOrder="0" shrinkToFit="0" vertical="center" wrapText="1"/>
    </xf>
    <xf borderId="16" fillId="4" fontId="4" numFmtId="0" xfId="0" applyAlignment="1" applyBorder="1" applyFont="1">
      <alignment horizontal="left" shrinkToFit="0" vertical="center" wrapText="1"/>
    </xf>
    <xf borderId="17" fillId="4" fontId="4" numFmtId="0" xfId="0" applyAlignment="1" applyBorder="1" applyFont="1">
      <alignment horizontal="left" shrinkToFit="0" vertical="center" wrapText="1"/>
    </xf>
    <xf borderId="18" fillId="4" fontId="4" numFmtId="0" xfId="0" applyAlignment="1" applyBorder="1" applyFont="1">
      <alignment horizontal="left" shrinkToFit="0" vertical="center" wrapText="1"/>
    </xf>
    <xf borderId="19" fillId="4" fontId="4" numFmtId="0" xfId="0" applyAlignment="1" applyBorder="1" applyFont="1">
      <alignment horizontal="left" shrinkToFit="0" vertical="center" wrapText="1"/>
    </xf>
    <xf borderId="20" fillId="4" fontId="4" numFmtId="0" xfId="0" applyAlignment="1" applyBorder="1" applyFont="1">
      <alignment horizontal="left" shrinkToFit="0" vertical="center" wrapText="1"/>
    </xf>
    <xf borderId="21" fillId="4" fontId="4" numFmtId="0" xfId="0" applyAlignment="1" applyBorder="1" applyFont="1">
      <alignment horizontal="left" shrinkToFit="0" vertical="center" wrapText="1"/>
    </xf>
    <xf borderId="16" fillId="4" fontId="4" numFmtId="0" xfId="0" applyAlignment="1" applyBorder="1" applyFont="1">
      <alignment horizontal="left" readingOrder="0" shrinkToFit="0" vertical="center" wrapText="1"/>
    </xf>
    <xf borderId="22" fillId="3" fontId="2" numFmtId="0" xfId="0" applyAlignment="1" applyBorder="1" applyFont="1">
      <alignment horizontal="left" readingOrder="0" shrinkToFit="0" vertical="center" wrapText="0"/>
    </xf>
    <xf borderId="23" fillId="0" fontId="3" numFmtId="0" xfId="0" applyBorder="1" applyFont="1"/>
    <xf borderId="24" fillId="0" fontId="3" numFmtId="0" xfId="0" applyBorder="1" applyFont="1"/>
    <xf borderId="25" fillId="5" fontId="5" numFmtId="0" xfId="0" applyAlignment="1" applyBorder="1" applyFill="1" applyFont="1">
      <alignment horizontal="left" shrinkToFit="0" vertical="center" wrapText="1"/>
    </xf>
    <xf borderId="25" fillId="5" fontId="6" numFmtId="0" xfId="0" applyAlignment="1" applyBorder="1" applyFont="1">
      <alignment horizontal="left" shrinkToFit="0" vertical="center" wrapText="1"/>
    </xf>
    <xf borderId="26" fillId="5" fontId="6" numFmtId="0" xfId="0" applyAlignment="1" applyBorder="1" applyFont="1">
      <alignment horizontal="left" shrinkToFit="0" vertical="center" wrapText="1"/>
    </xf>
    <xf borderId="25" fillId="5" fontId="6" numFmtId="1" xfId="0" applyAlignment="1" applyBorder="1" applyFont="1" applyNumberFormat="1">
      <alignment horizontal="left" shrinkToFit="0" vertical="center" wrapText="1"/>
    </xf>
    <xf borderId="25" fillId="5" fontId="6" numFmtId="3" xfId="0" applyAlignment="1" applyBorder="1" applyFont="1" applyNumberFormat="1">
      <alignment horizontal="left" shrinkToFit="0" vertical="center" wrapText="1"/>
    </xf>
    <xf borderId="26" fillId="5" fontId="6" numFmtId="3" xfId="0" applyAlignment="1" applyBorder="1" applyFont="1" applyNumberFormat="1">
      <alignment horizontal="left" shrinkToFit="0" vertical="center" wrapText="1"/>
    </xf>
    <xf borderId="26" fillId="5" fontId="6" numFmtId="164" xfId="0" applyAlignment="1" applyBorder="1" applyFont="1" applyNumberFormat="1">
      <alignment horizontal="left" shrinkToFit="0" vertical="center" wrapText="1"/>
    </xf>
    <xf borderId="25" fillId="5" fontId="6" numFmtId="2" xfId="0" applyAlignment="1" applyBorder="1" applyFont="1" applyNumberFormat="1">
      <alignment horizontal="left" shrinkToFit="0" vertical="center" wrapText="1"/>
    </xf>
    <xf borderId="27" fillId="5" fontId="6" numFmtId="1" xfId="0" applyAlignment="1" applyBorder="1" applyFont="1" applyNumberFormat="1">
      <alignment horizontal="left" shrinkToFit="0" vertical="center" wrapText="1"/>
    </xf>
    <xf borderId="25" fillId="5" fontId="6" numFmtId="165" xfId="0" applyAlignment="1" applyBorder="1" applyFont="1" applyNumberFormat="1">
      <alignment horizontal="left" shrinkToFit="0" vertical="center" wrapText="1"/>
    </xf>
    <xf borderId="27" fillId="5" fontId="6" numFmtId="0" xfId="0" applyAlignment="1" applyBorder="1" applyFont="1">
      <alignment horizontal="left" shrinkToFit="0" vertical="center" wrapText="1"/>
    </xf>
    <xf borderId="28" fillId="5" fontId="6" numFmtId="0" xfId="0" applyAlignment="1" applyBorder="1" applyFont="1">
      <alignment horizontal="left" shrinkToFit="0" vertical="center" wrapText="1"/>
    </xf>
    <xf borderId="25" fillId="5" fontId="6" numFmtId="0" xfId="0" applyAlignment="1" applyBorder="1" applyFont="1">
      <alignment shrinkToFit="0" vertical="center" wrapText="1"/>
    </xf>
    <xf borderId="26" fillId="5" fontId="6" numFmtId="0" xfId="0" applyAlignment="1" applyBorder="1" applyFont="1">
      <alignment shrinkToFit="0" vertical="center" wrapText="1"/>
    </xf>
    <xf borderId="25" fillId="6" fontId="5" numFmtId="0" xfId="0" applyAlignment="1" applyBorder="1" applyFill="1" applyFont="1">
      <alignment horizontal="left" shrinkToFit="0" vertical="center" wrapText="1"/>
    </xf>
    <xf borderId="25" fillId="6" fontId="6" numFmtId="0" xfId="0" applyAlignment="1" applyBorder="1" applyFont="1">
      <alignment horizontal="left" shrinkToFit="0" vertical="center" wrapText="1"/>
    </xf>
    <xf borderId="26" fillId="6" fontId="6" numFmtId="0" xfId="0" applyAlignment="1" applyBorder="1" applyFont="1">
      <alignment horizontal="left" shrinkToFit="0" vertical="center" wrapText="1"/>
    </xf>
    <xf borderId="25" fillId="6" fontId="6" numFmtId="1" xfId="0" applyAlignment="1" applyBorder="1" applyFont="1" applyNumberFormat="1">
      <alignment horizontal="left" shrinkToFit="0" vertical="center" wrapText="1"/>
    </xf>
    <xf borderId="25" fillId="6" fontId="6" numFmtId="3" xfId="0" applyAlignment="1" applyBorder="1" applyFont="1" applyNumberFormat="1">
      <alignment horizontal="left" shrinkToFit="0" vertical="center" wrapText="1"/>
    </xf>
    <xf borderId="26" fillId="6" fontId="6" numFmtId="3" xfId="0" applyAlignment="1" applyBorder="1" applyFont="1" applyNumberFormat="1">
      <alignment horizontal="left" shrinkToFit="0" vertical="center" wrapText="1"/>
    </xf>
    <xf borderId="26" fillId="6" fontId="6" numFmtId="164" xfId="0" applyAlignment="1" applyBorder="1" applyFont="1" applyNumberFormat="1">
      <alignment horizontal="left" shrinkToFit="0" vertical="center" wrapText="1"/>
    </xf>
    <xf borderId="25" fillId="6" fontId="6" numFmtId="2" xfId="0" applyAlignment="1" applyBorder="1" applyFont="1" applyNumberFormat="1">
      <alignment horizontal="left" shrinkToFit="0" vertical="center" wrapText="1"/>
    </xf>
    <xf borderId="27" fillId="6" fontId="6" numFmtId="1" xfId="0" applyAlignment="1" applyBorder="1" applyFont="1" applyNumberFormat="1">
      <alignment horizontal="left" shrinkToFit="0" vertical="center" wrapText="1"/>
    </xf>
    <xf borderId="25" fillId="6" fontId="6" numFmtId="165" xfId="0" applyAlignment="1" applyBorder="1" applyFont="1" applyNumberFormat="1">
      <alignment horizontal="left" shrinkToFit="0" vertical="center" wrapText="1"/>
    </xf>
    <xf borderId="27" fillId="6" fontId="6" numFmtId="0" xfId="0" applyAlignment="1" applyBorder="1" applyFont="1">
      <alignment horizontal="left" shrinkToFit="0" vertical="center" wrapText="1"/>
    </xf>
    <xf borderId="28" fillId="6" fontId="6" numFmtId="0" xfId="0" applyAlignment="1" applyBorder="1" applyFont="1">
      <alignment horizontal="left" shrinkToFit="0" vertical="center" wrapText="1"/>
    </xf>
    <xf borderId="25" fillId="6" fontId="6" numFmtId="0" xfId="0" applyAlignment="1" applyBorder="1" applyFont="1">
      <alignment shrinkToFit="0" vertical="center" wrapText="1"/>
    </xf>
    <xf borderId="26" fillId="6" fontId="6" numFmtId="0" xfId="0" applyAlignment="1" applyBorder="1" applyFont="1">
      <alignment shrinkToFit="0" vertical="center" wrapText="1"/>
    </xf>
    <xf borderId="25" fillId="7" fontId="7" numFmtId="0" xfId="0" applyAlignment="1" applyBorder="1" applyFill="1" applyFont="1">
      <alignment shrinkToFit="0" vertical="bottom" wrapText="0"/>
    </xf>
    <xf borderId="25" fillId="7" fontId="8" numFmtId="0" xfId="0" applyAlignment="1" applyBorder="1" applyFont="1">
      <alignment shrinkToFit="0" vertical="bottom" wrapText="0"/>
    </xf>
    <xf borderId="26" fillId="7" fontId="8" numFmtId="0" xfId="0" applyAlignment="1" applyBorder="1" applyFont="1">
      <alignment shrinkToFit="0" vertical="bottom" wrapText="0"/>
    </xf>
    <xf borderId="25" fillId="7" fontId="8" numFmtId="0" xfId="0" applyAlignment="1" applyBorder="1" applyFont="1">
      <alignment shrinkToFit="0" vertical="bottom" wrapText="1"/>
    </xf>
    <xf borderId="27" fillId="7" fontId="8" numFmtId="0" xfId="0" applyAlignment="1" applyBorder="1" applyFont="1">
      <alignment shrinkToFit="0" vertical="bottom" wrapText="0"/>
    </xf>
    <xf borderId="28" fillId="7" fontId="8" numFmtId="0" xfId="0" applyAlignment="1" applyBorder="1" applyFont="1">
      <alignment shrinkToFit="0" vertical="bottom" wrapText="0"/>
    </xf>
    <xf borderId="25" fillId="7" fontId="9" numFmtId="0" xfId="0" applyAlignment="1" applyBorder="1" applyFont="1">
      <alignment vertical="center"/>
    </xf>
    <xf borderId="26" fillId="7" fontId="9" numFmtId="0" xfId="0" applyAlignment="1" applyBorder="1" applyFont="1">
      <alignment vertical="center"/>
    </xf>
    <xf borderId="25" fillId="6" fontId="6" numFmtId="166" xfId="0" applyAlignment="1" applyBorder="1" applyFont="1" applyNumberFormat="1">
      <alignment horizontal="left" shrinkToFit="0" vertical="center" wrapText="1"/>
    </xf>
    <xf borderId="0" fillId="0" fontId="10" numFmtId="0" xfId="0" applyAlignment="1" applyFont="1">
      <alignment horizontal="left" shrinkToFit="0" vertical="center" wrapText="1"/>
    </xf>
    <xf borderId="29" fillId="0" fontId="10" numFmtId="0" xfId="0" applyAlignment="1" applyBorder="1" applyFont="1">
      <alignment horizontal="left" shrinkToFit="0" vertical="center" wrapText="1"/>
    </xf>
    <xf borderId="30" fillId="0"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0" fillId="0" fontId="10" numFmtId="1" xfId="0" applyAlignment="1" applyFont="1" applyNumberFormat="1">
      <alignment horizontal="left" shrinkToFit="0" vertical="center" wrapText="1"/>
    </xf>
    <xf borderId="0" fillId="0" fontId="10" numFmtId="3" xfId="0" applyAlignment="1" applyFont="1" applyNumberFormat="1">
      <alignment horizontal="left" shrinkToFit="0" vertical="center" wrapText="1"/>
    </xf>
    <xf borderId="29" fillId="0" fontId="10" numFmtId="3" xfId="0" applyAlignment="1" applyBorder="1" applyFont="1" applyNumberFormat="1">
      <alignment horizontal="left" shrinkToFit="0" vertical="center" wrapText="1"/>
    </xf>
    <xf borderId="29" fillId="0" fontId="10" numFmtId="164" xfId="0" applyAlignment="1" applyBorder="1" applyFont="1" applyNumberFormat="1">
      <alignment horizontal="left" shrinkToFit="0" vertical="center" wrapText="1"/>
    </xf>
    <xf borderId="0" fillId="0" fontId="10" numFmtId="2" xfId="0" applyAlignment="1" applyFont="1" applyNumberFormat="1">
      <alignment horizontal="left" shrinkToFit="0" vertical="center" wrapText="1"/>
    </xf>
    <xf borderId="30" fillId="0" fontId="10" numFmtId="1" xfId="0" applyAlignment="1" applyBorder="1" applyFont="1" applyNumberFormat="1">
      <alignment horizontal="left" shrinkToFit="0" vertical="center" wrapText="1"/>
    </xf>
    <xf borderId="0" fillId="0" fontId="10" numFmtId="165" xfId="0" applyAlignment="1" applyFont="1" applyNumberFormat="1">
      <alignment horizontal="left" shrinkToFit="0" vertical="center" wrapText="1"/>
    </xf>
    <xf borderId="22" fillId="8" fontId="2" numFmtId="0" xfId="0" applyAlignment="1" applyBorder="1" applyFill="1" applyFont="1">
      <alignment horizontal="left" readingOrder="0" shrinkToFit="0" vertical="center" wrapText="0"/>
    </xf>
    <xf borderId="25" fillId="9" fontId="11" numFmtId="0" xfId="0" applyAlignment="1" applyBorder="1" applyFill="1" applyFont="1">
      <alignment horizontal="left" shrinkToFit="0" vertical="center" wrapText="1"/>
    </xf>
    <xf borderId="25" fillId="9" fontId="6" numFmtId="0" xfId="0" applyAlignment="1" applyBorder="1" applyFont="1">
      <alignment horizontal="left" shrinkToFit="0" vertical="center" wrapText="1"/>
    </xf>
    <xf borderId="25" fillId="9" fontId="12" numFmtId="0" xfId="0" applyAlignment="1" applyBorder="1" applyFont="1">
      <alignment horizontal="left" shrinkToFit="0" vertical="center" wrapText="1"/>
    </xf>
    <xf borderId="26" fillId="9" fontId="12" numFmtId="0" xfId="0" applyAlignment="1" applyBorder="1" applyFont="1">
      <alignment horizontal="left" shrinkToFit="0" vertical="center" wrapText="1"/>
    </xf>
    <xf borderId="25" fillId="9" fontId="12" numFmtId="1" xfId="0" applyAlignment="1" applyBorder="1" applyFont="1" applyNumberFormat="1">
      <alignment horizontal="left" shrinkToFit="0" vertical="center" wrapText="1"/>
    </xf>
    <xf borderId="25" fillId="9" fontId="12" numFmtId="3" xfId="0" applyAlignment="1" applyBorder="1" applyFont="1" applyNumberFormat="1">
      <alignment horizontal="left" shrinkToFit="0" vertical="center" wrapText="1"/>
    </xf>
    <xf borderId="26" fillId="9" fontId="12" numFmtId="3" xfId="0" applyAlignment="1" applyBorder="1" applyFont="1" applyNumberFormat="1">
      <alignment horizontal="left" shrinkToFit="0" vertical="center" wrapText="1"/>
    </xf>
    <xf borderId="26" fillId="9" fontId="12" numFmtId="164" xfId="0" applyAlignment="1" applyBorder="1" applyFont="1" applyNumberFormat="1">
      <alignment horizontal="left" shrinkToFit="0" vertical="center" wrapText="1"/>
    </xf>
    <xf borderId="25" fillId="9" fontId="12" numFmtId="2" xfId="0" applyAlignment="1" applyBorder="1" applyFont="1" applyNumberFormat="1">
      <alignment horizontal="left" shrinkToFit="0" vertical="center" wrapText="1"/>
    </xf>
    <xf borderId="27" fillId="9" fontId="12" numFmtId="1" xfId="0" applyAlignment="1" applyBorder="1" applyFont="1" applyNumberFormat="1">
      <alignment horizontal="left" shrinkToFit="0" vertical="center" wrapText="1"/>
    </xf>
    <xf borderId="25" fillId="9" fontId="12" numFmtId="165" xfId="0" applyAlignment="1" applyBorder="1" applyFont="1" applyNumberFormat="1">
      <alignment horizontal="left" shrinkToFit="0" vertical="center" wrapText="1"/>
    </xf>
    <xf borderId="27" fillId="9" fontId="12" numFmtId="0" xfId="0" applyAlignment="1" applyBorder="1" applyFont="1">
      <alignment horizontal="left" shrinkToFit="0" vertical="center" wrapText="1"/>
    </xf>
    <xf borderId="28" fillId="9" fontId="12" numFmtId="0" xfId="0" applyAlignment="1" applyBorder="1" applyFont="1">
      <alignment horizontal="left" shrinkToFit="0" vertical="center" wrapText="1"/>
    </xf>
    <xf borderId="25" fillId="9" fontId="12" numFmtId="0" xfId="0" applyAlignment="1" applyBorder="1" applyFont="1">
      <alignment shrinkToFit="0" vertical="center" wrapText="1"/>
    </xf>
    <xf borderId="26" fillId="9" fontId="12" numFmtId="0" xfId="0" applyAlignment="1" applyBorder="1" applyFont="1">
      <alignment shrinkToFit="0" vertical="center" wrapText="1"/>
    </xf>
    <xf borderId="25" fillId="10" fontId="11" numFmtId="0" xfId="0" applyAlignment="1" applyBorder="1" applyFill="1" applyFont="1">
      <alignment horizontal="left" shrinkToFit="0" vertical="center" wrapText="1"/>
    </xf>
    <xf borderId="25" fillId="10" fontId="6" numFmtId="0" xfId="0" applyAlignment="1" applyBorder="1" applyFont="1">
      <alignment horizontal="left" shrinkToFit="0" vertical="center" wrapText="1"/>
    </xf>
    <xf borderId="25" fillId="10" fontId="12" numFmtId="0" xfId="0" applyAlignment="1" applyBorder="1" applyFont="1">
      <alignment horizontal="left" shrinkToFit="0" vertical="center" wrapText="1"/>
    </xf>
    <xf borderId="26" fillId="10" fontId="12" numFmtId="0" xfId="0" applyAlignment="1" applyBorder="1" applyFont="1">
      <alignment horizontal="left" shrinkToFit="0" vertical="center" wrapText="1"/>
    </xf>
    <xf borderId="25" fillId="10" fontId="12" numFmtId="1" xfId="0" applyAlignment="1" applyBorder="1" applyFont="1" applyNumberFormat="1">
      <alignment horizontal="left" shrinkToFit="0" vertical="center" wrapText="1"/>
    </xf>
    <xf borderId="25" fillId="10" fontId="12" numFmtId="3" xfId="0" applyAlignment="1" applyBorder="1" applyFont="1" applyNumberFormat="1">
      <alignment horizontal="left" shrinkToFit="0" vertical="center" wrapText="1"/>
    </xf>
    <xf borderId="26" fillId="10" fontId="12" numFmtId="3" xfId="0" applyAlignment="1" applyBorder="1" applyFont="1" applyNumberFormat="1">
      <alignment horizontal="left" shrinkToFit="0" vertical="center" wrapText="1"/>
    </xf>
    <xf borderId="26" fillId="10" fontId="12" numFmtId="164" xfId="0" applyAlignment="1" applyBorder="1" applyFont="1" applyNumberFormat="1">
      <alignment horizontal="left" shrinkToFit="0" vertical="center" wrapText="1"/>
    </xf>
    <xf borderId="25" fillId="10" fontId="12" numFmtId="2" xfId="0" applyAlignment="1" applyBorder="1" applyFont="1" applyNumberFormat="1">
      <alignment horizontal="left" shrinkToFit="0" vertical="center" wrapText="1"/>
    </xf>
    <xf borderId="27" fillId="10" fontId="12" numFmtId="1" xfId="0" applyAlignment="1" applyBorder="1" applyFont="1" applyNumberFormat="1">
      <alignment horizontal="left" shrinkToFit="0" vertical="center" wrapText="1"/>
    </xf>
    <xf borderId="25" fillId="10" fontId="12" numFmtId="165" xfId="0" applyAlignment="1" applyBorder="1" applyFont="1" applyNumberFormat="1">
      <alignment horizontal="left" shrinkToFit="0" vertical="center" wrapText="1"/>
    </xf>
    <xf borderId="27" fillId="10" fontId="12" numFmtId="0" xfId="0" applyAlignment="1" applyBorder="1" applyFont="1">
      <alignment horizontal="left" shrinkToFit="0" vertical="center" wrapText="1"/>
    </xf>
    <xf borderId="28" fillId="10" fontId="12" numFmtId="0" xfId="0" applyAlignment="1" applyBorder="1" applyFont="1">
      <alignment horizontal="left" shrinkToFit="0" vertical="center" wrapText="1"/>
    </xf>
    <xf borderId="25" fillId="10" fontId="12" numFmtId="0" xfId="0" applyAlignment="1" applyBorder="1" applyFont="1">
      <alignment shrinkToFit="0" vertical="center" wrapText="1"/>
    </xf>
    <xf borderId="26" fillId="10" fontId="12" numFmtId="0" xfId="0" applyAlignment="1" applyBorder="1" applyFont="1">
      <alignment shrinkToFit="0" vertical="center" wrapText="1"/>
    </xf>
    <xf borderId="0" fillId="0" fontId="13" numFmtId="0" xfId="0" applyAlignment="1" applyFont="1">
      <alignment shrinkToFit="0" vertical="bottom" wrapText="0"/>
    </xf>
    <xf borderId="0" fillId="0" fontId="13" numFmtId="0" xfId="0" applyAlignment="1" applyFont="1">
      <alignment shrinkToFit="0" vertical="bottom" wrapText="1"/>
    </xf>
    <xf borderId="0" fillId="0" fontId="14" numFmtId="0" xfId="0" applyAlignment="1" applyFont="1">
      <alignment shrinkToFit="0" vertical="bottom" wrapText="0"/>
    </xf>
    <xf borderId="0" fillId="0" fontId="14" numFmtId="0" xfId="0" applyAlignment="1" applyFont="1">
      <alignment horizontal="left" shrinkToFit="0" vertical="bottom" wrapText="1"/>
    </xf>
    <xf borderId="0" fillId="0" fontId="9" numFmtId="0" xfId="0" applyAlignment="1" applyFont="1">
      <alignment horizontal="left" shrinkToFit="0" vertical="bottom" wrapText="1"/>
    </xf>
    <xf borderId="0" fillId="0" fontId="9" numFmtId="0" xfId="0" applyAlignment="1" applyFont="1">
      <alignment shrinkToFit="0" vertical="bottom" wrapText="0"/>
    </xf>
    <xf borderId="22" fillId="2" fontId="15" numFmtId="0" xfId="0" applyAlignment="1" applyBorder="1" applyFont="1">
      <alignment horizontal="left" shrinkToFit="0" vertical="center" wrapText="1"/>
    </xf>
    <xf borderId="0" fillId="0" fontId="9" numFmtId="0" xfId="0" applyAlignment="1" applyFont="1">
      <alignment vertical="bottom"/>
    </xf>
    <xf borderId="0" fillId="0" fontId="16" numFmtId="0" xfId="0" applyAlignment="1" applyFont="1">
      <alignment shrinkToFit="0" vertical="top" wrapText="1"/>
    </xf>
    <xf borderId="0" fillId="0" fontId="13" numFmtId="0" xfId="0" applyAlignment="1" applyFont="1">
      <alignment vertical="bottom"/>
    </xf>
    <xf borderId="0" fillId="0" fontId="6" numFmtId="0" xfId="0" applyAlignment="1" applyFont="1">
      <alignment horizontal="left" vertical="center"/>
    </xf>
    <xf borderId="0" fillId="0" fontId="13" numFmtId="0" xfId="0" applyAlignment="1" applyFont="1">
      <alignment shrinkToFit="0" vertical="top" wrapText="1"/>
    </xf>
    <xf borderId="0" fillId="0" fontId="13" numFmtId="0" xfId="0" applyAlignment="1" applyFont="1">
      <alignment horizontal="center" shrinkToFit="0" vertical="top" wrapText="1"/>
    </xf>
    <xf borderId="22" fillId="3" fontId="2" numFmtId="0" xfId="0" applyAlignment="1" applyBorder="1" applyFont="1">
      <alignment horizontal="left" shrinkToFit="0" vertical="center" wrapText="1"/>
    </xf>
    <xf borderId="32" fillId="4" fontId="4" numFmtId="0" xfId="0" applyAlignment="1" applyBorder="1" applyFont="1">
      <alignment horizontal="center" shrinkToFit="0" vertical="center" wrapText="1"/>
    </xf>
    <xf borderId="25" fillId="4" fontId="4" numFmtId="0" xfId="0" applyAlignment="1" applyBorder="1" applyFont="1">
      <alignment horizontal="center" shrinkToFit="0" vertical="center" wrapText="1"/>
    </xf>
    <xf borderId="22" fillId="4" fontId="4" numFmtId="0" xfId="0" applyAlignment="1" applyBorder="1" applyFont="1">
      <alignment horizontal="center" shrinkToFit="0" vertical="center" wrapText="1"/>
    </xf>
    <xf borderId="33" fillId="0" fontId="3" numFmtId="0" xfId="0" applyBorder="1" applyFont="1"/>
    <xf borderId="34" fillId="0" fontId="3" numFmtId="0" xfId="0" applyBorder="1" applyFont="1"/>
    <xf borderId="35" fillId="4" fontId="4" numFmtId="0" xfId="0" applyAlignment="1" applyBorder="1" applyFont="1">
      <alignment horizontal="center" shrinkToFit="0" vertical="center" wrapText="1"/>
    </xf>
    <xf borderId="25" fillId="6" fontId="6" numFmtId="164" xfId="0" applyAlignment="1" applyBorder="1" applyFont="1" applyNumberFormat="1">
      <alignment horizontal="center" shrinkToFit="0" vertical="center" wrapText="1"/>
    </xf>
    <xf borderId="35" fillId="6" fontId="6" numFmtId="0" xfId="0" applyAlignment="1" applyBorder="1" applyFont="1">
      <alignment horizontal="center" shrinkToFit="0" vertical="center" wrapText="1"/>
    </xf>
    <xf borderId="0" fillId="0" fontId="9" numFmtId="0" xfId="0" applyAlignment="1" applyFont="1">
      <alignment vertical="center"/>
    </xf>
    <xf borderId="25" fillId="11" fontId="5" numFmtId="0" xfId="0" applyAlignment="1" applyBorder="1" applyFill="1" applyFont="1">
      <alignment horizontal="left" shrinkToFit="0" vertical="center" wrapText="1"/>
    </xf>
    <xf borderId="25" fillId="11" fontId="6" numFmtId="0" xfId="0" applyAlignment="1" applyBorder="1" applyFont="1">
      <alignment horizontal="left" shrinkToFit="0" vertical="center" wrapText="1"/>
    </xf>
    <xf borderId="25" fillId="11" fontId="6" numFmtId="164" xfId="0" applyAlignment="1" applyBorder="1" applyFont="1" applyNumberFormat="1">
      <alignment horizontal="center" shrinkToFit="0" vertical="center" wrapText="1"/>
    </xf>
    <xf borderId="35" fillId="11" fontId="6" numFmtId="0" xfId="0" applyAlignment="1" applyBorder="1" applyFont="1">
      <alignment horizontal="center" shrinkToFit="0" vertical="center" wrapText="1"/>
    </xf>
    <xf borderId="25" fillId="12" fontId="17" numFmtId="0" xfId="0" applyAlignment="1" applyBorder="1" applyFill="1" applyFont="1">
      <alignment horizontal="left" shrinkToFit="0" vertical="center" wrapText="1"/>
    </xf>
    <xf borderId="35" fillId="12" fontId="17" numFmtId="0" xfId="0" applyAlignment="1" applyBorder="1" applyFont="1">
      <alignment horizontal="left" shrinkToFit="0" vertical="center" wrapText="1"/>
    </xf>
    <xf borderId="22" fillId="11" fontId="6" numFmtId="0" xfId="0" applyAlignment="1" applyBorder="1" applyFont="1">
      <alignment horizontal="center" shrinkToFit="0" vertical="center" wrapText="1"/>
    </xf>
    <xf borderId="22" fillId="6" fontId="6" numFmtId="9" xfId="0" applyAlignment="1" applyBorder="1" applyFont="1" applyNumberFormat="1">
      <alignment horizontal="center" shrinkToFit="0" vertical="center" wrapText="1"/>
    </xf>
    <xf borderId="0" fillId="0" fontId="9" numFmtId="0" xfId="0" applyAlignment="1" applyFont="1">
      <alignment shrinkToFit="0" vertical="center" wrapText="1"/>
    </xf>
    <xf borderId="0" fillId="0" fontId="9" numFmtId="0" xfId="0" applyAlignment="1" applyFont="1">
      <alignment shrinkToFit="0" vertical="bottom" wrapText="1"/>
    </xf>
    <xf borderId="25" fillId="11" fontId="6" numFmtId="167" xfId="0" applyAlignment="1" applyBorder="1" applyFont="1" applyNumberFormat="1">
      <alignment horizontal="center" shrinkToFit="0" vertical="center" wrapText="1"/>
    </xf>
    <xf borderId="25" fillId="6" fontId="6" numFmtId="167" xfId="0" applyAlignment="1" applyBorder="1" applyFont="1" applyNumberFormat="1">
      <alignment horizontal="center" shrinkToFit="0" vertical="center" wrapText="1"/>
    </xf>
    <xf borderId="25" fillId="11" fontId="6" numFmtId="4" xfId="0" applyAlignment="1" applyBorder="1" applyFont="1" applyNumberFormat="1">
      <alignment horizontal="center" shrinkToFit="0" vertical="center" wrapText="1"/>
    </xf>
    <xf borderId="22" fillId="11" fontId="6" numFmtId="9" xfId="0" applyAlignment="1" applyBorder="1" applyFont="1" applyNumberFormat="1">
      <alignment horizontal="center" shrinkToFit="0" vertical="center" wrapText="1"/>
    </xf>
    <xf borderId="0" fillId="0" fontId="13" numFmtId="0" xfId="0" applyAlignment="1" applyFont="1">
      <alignment vertical="center"/>
    </xf>
    <xf borderId="25" fillId="6" fontId="6" numFmtId="9" xfId="0" applyAlignment="1" applyBorder="1" applyFont="1" applyNumberFormat="1">
      <alignment horizontal="center" shrinkToFit="0" vertical="center" wrapText="1"/>
    </xf>
    <xf borderId="25" fillId="6" fontId="6" numFmtId="0" xfId="0" applyAlignment="1" applyBorder="1" applyFont="1">
      <alignment horizontal="center" shrinkToFit="0" vertical="center" wrapText="1"/>
    </xf>
    <xf borderId="36" fillId="0" fontId="13" numFmtId="0" xfId="0" applyAlignment="1" applyBorder="1" applyFont="1">
      <alignment shrinkToFit="0" vertical="top" wrapText="1"/>
    </xf>
    <xf borderId="37" fillId="0" fontId="13" numFmtId="0" xfId="0" applyAlignment="1" applyBorder="1" applyFont="1">
      <alignment horizontal="center" shrinkToFit="0" vertical="top" wrapText="1"/>
    </xf>
    <xf borderId="36" fillId="0" fontId="13" numFmtId="0" xfId="0" applyAlignment="1" applyBorder="1" applyFont="1">
      <alignment horizontal="center" shrinkToFit="0" vertical="top" wrapText="1"/>
    </xf>
    <xf borderId="37" fillId="0" fontId="13" numFmtId="0" xfId="0" applyAlignment="1" applyBorder="1" applyFont="1">
      <alignment shrinkToFit="0" vertical="top" wrapText="1"/>
    </xf>
    <xf borderId="38" fillId="4" fontId="4" numFmtId="0" xfId="0" applyAlignment="1" applyBorder="1" applyFont="1">
      <alignment horizontal="center" shrinkToFit="0" vertical="center" wrapText="1"/>
    </xf>
    <xf borderId="25" fillId="4" fontId="18" numFmtId="0" xfId="0" applyAlignment="1" applyBorder="1" applyFont="1">
      <alignment horizontal="center" shrinkToFit="0" vertical="center" wrapText="1"/>
    </xf>
    <xf borderId="36" fillId="0" fontId="13" numFmtId="164" xfId="0" applyAlignment="1" applyBorder="1" applyFont="1" applyNumberFormat="1">
      <alignment horizontal="center" shrinkToFit="0" vertical="top" wrapText="1"/>
    </xf>
    <xf borderId="36" fillId="0" fontId="13" numFmtId="164" xfId="0" applyAlignment="1" applyBorder="1" applyFont="1" applyNumberFormat="1">
      <alignment shrinkToFit="0" vertical="top" wrapText="1"/>
    </xf>
    <xf borderId="0" fillId="0" fontId="9" numFmtId="164" xfId="0" applyAlignment="1" applyFont="1" applyNumberFormat="1">
      <alignment vertical="bottom"/>
    </xf>
    <xf borderId="0" fillId="0" fontId="13" numFmtId="0" xfId="0" applyAlignment="1" applyFont="1">
      <alignment horizontal="center" vertical="bottom"/>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tulah-matrix.vercel.app/"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2D2D"/>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Row="1"/>
  <cols>
    <col customWidth="1" min="1" max="1" width="39.14"/>
    <col customWidth="1" min="2" max="3" width="22.0"/>
    <col customWidth="1" min="4" max="4" width="16.0"/>
    <col customWidth="1" min="5" max="5" width="22.0"/>
    <col customWidth="1" min="6" max="6" width="24.0"/>
    <col customWidth="1" min="7" max="7" width="22.0"/>
    <col customWidth="1" min="8" max="8" width="14.0"/>
    <col customWidth="1" min="9" max="9" width="12.14"/>
    <col customWidth="1" min="10" max="10" width="56.71"/>
    <col customWidth="1" min="11" max="11" width="16.57"/>
    <col customWidth="1" min="12" max="12" width="22.0"/>
    <col customWidth="1" min="13" max="13" width="15.0"/>
    <col customWidth="1" min="14" max="18" width="12.0"/>
    <col customWidth="1" min="19" max="19" width="16.0"/>
    <col customWidth="1" min="20" max="20" width="14.0"/>
    <col customWidth="1" min="21" max="21" width="18.0"/>
    <col customWidth="1" min="22" max="22" width="12.43"/>
    <col customWidth="1" min="23" max="23" width="34.71"/>
    <col customWidth="1" min="24" max="24" width="12.86"/>
    <col customWidth="1" min="25" max="26" width="34.0"/>
    <col customWidth="1" min="27" max="27" width="11.71"/>
    <col customWidth="1" min="28" max="28" width="12.0"/>
    <col customWidth="1" min="29" max="29" width="13.86"/>
    <col customWidth="1" min="30" max="31" width="12.86"/>
    <col customWidth="1" min="32" max="32" width="16.0"/>
    <col customWidth="1" min="33" max="33" width="20.0"/>
    <col customWidth="1" min="34" max="36" width="15.57"/>
    <col customWidth="1" min="37" max="37" width="35.29"/>
    <col customWidth="1" min="38" max="38" width="20.0"/>
    <col customWidth="1" min="39" max="40" width="14.0"/>
    <col customWidth="1" min="41" max="41" width="27.86"/>
    <col customWidth="1" min="42" max="42" width="11.71"/>
    <col customWidth="1" min="43" max="43" width="14.0"/>
    <col customWidth="1" min="44" max="44" width="24.0"/>
    <col customWidth="1" min="45" max="45" width="23.14"/>
    <col customWidth="1" min="46" max="46" width="16.0"/>
    <col customWidth="1" min="47" max="48" width="20.0"/>
    <col customWidth="1" min="49" max="49" width="15.14"/>
    <col customWidth="1" min="50" max="50" width="42.0"/>
    <col customWidth="1" min="51" max="57" width="14.0"/>
    <col customWidth="1" min="58" max="58" width="42.0"/>
    <col customWidth="1" min="59" max="60" width="14.0"/>
    <col customWidth="1" min="61" max="61" width="42.0"/>
    <col customWidth="1" min="62" max="64" width="14.0"/>
    <col customWidth="1" min="65" max="65" width="14.86"/>
    <col customWidth="1" min="66" max="66" width="42.0"/>
    <col customWidth="1" min="67" max="67" width="16.14"/>
    <col customWidth="1" min="68" max="69" width="37.43"/>
    <col customWidth="1" min="70" max="72" width="30.0"/>
    <col customWidth="1" min="73" max="73" width="40.0"/>
  </cols>
  <sheetData>
    <row r="1" ht="27.0" customHeight="1">
      <c r="A1" s="1" t="s">
        <v>0</v>
      </c>
      <c r="B1" s="2" t="s">
        <v>1</v>
      </c>
      <c r="C1" s="3"/>
      <c r="D1" s="3"/>
      <c r="E1" s="3"/>
      <c r="F1" s="3"/>
      <c r="G1" s="3"/>
      <c r="H1" s="3"/>
      <c r="I1" s="3"/>
      <c r="J1" s="3"/>
      <c r="K1" s="4"/>
      <c r="L1" s="5" t="s">
        <v>2</v>
      </c>
      <c r="M1" s="3"/>
      <c r="N1" s="3"/>
      <c r="O1" s="3"/>
      <c r="P1" s="3"/>
      <c r="Q1" s="3"/>
      <c r="R1" s="4"/>
      <c r="S1" s="6" t="s">
        <v>3</v>
      </c>
      <c r="T1" s="3"/>
      <c r="U1" s="3"/>
      <c r="V1" s="3"/>
      <c r="W1" s="3"/>
      <c r="X1" s="3"/>
      <c r="Y1" s="3"/>
      <c r="Z1" s="3"/>
      <c r="AA1" s="3"/>
      <c r="AB1" s="3"/>
      <c r="AC1" s="3"/>
      <c r="AD1" s="3"/>
      <c r="AE1" s="3"/>
      <c r="AF1" s="4"/>
      <c r="AG1" s="2" t="s">
        <v>4</v>
      </c>
      <c r="AH1" s="3"/>
      <c r="AI1" s="3"/>
      <c r="AJ1" s="3"/>
      <c r="AK1" s="3"/>
      <c r="AL1" s="3"/>
      <c r="AM1" s="3"/>
      <c r="AN1" s="3"/>
      <c r="AO1" s="3"/>
      <c r="AP1" s="3"/>
      <c r="AQ1" s="3"/>
      <c r="AR1" s="3"/>
      <c r="AS1" s="3"/>
      <c r="AT1" s="4"/>
      <c r="AU1" s="6" t="s">
        <v>5</v>
      </c>
      <c r="AV1" s="3"/>
      <c r="AW1" s="3"/>
      <c r="AX1" s="3"/>
      <c r="AY1" s="3"/>
      <c r="AZ1" s="3"/>
      <c r="BA1" s="3"/>
      <c r="BB1" s="3"/>
      <c r="BC1" s="3"/>
      <c r="BD1" s="3"/>
      <c r="BE1" s="3"/>
      <c r="BF1" s="3"/>
      <c r="BG1" s="3"/>
      <c r="BH1" s="3"/>
      <c r="BI1" s="3"/>
      <c r="BJ1" s="3"/>
      <c r="BK1" s="3"/>
      <c r="BL1" s="3"/>
      <c r="BM1" s="3"/>
      <c r="BN1" s="3"/>
      <c r="BO1" s="3"/>
      <c r="BP1" s="3"/>
      <c r="BQ1" s="4"/>
      <c r="BR1" s="7" t="s">
        <v>6</v>
      </c>
      <c r="BS1" s="3"/>
      <c r="BT1" s="4"/>
      <c r="BU1" s="8" t="s">
        <v>7</v>
      </c>
    </row>
    <row r="2" ht="39.75" customHeight="1">
      <c r="A2" s="9" t="s">
        <v>8</v>
      </c>
      <c r="B2" s="10" t="s">
        <v>9</v>
      </c>
      <c r="C2" s="10" t="s">
        <v>10</v>
      </c>
      <c r="D2" s="10" t="s">
        <v>11</v>
      </c>
      <c r="E2" s="10" t="s">
        <v>12</v>
      </c>
      <c r="F2" s="10" t="s">
        <v>13</v>
      </c>
      <c r="G2" s="10" t="s">
        <v>14</v>
      </c>
      <c r="H2" s="10" t="s">
        <v>15</v>
      </c>
      <c r="I2" s="10" t="s">
        <v>16</v>
      </c>
      <c r="J2" s="10" t="s">
        <v>17</v>
      </c>
      <c r="K2" s="11" t="s">
        <v>18</v>
      </c>
      <c r="L2" s="12" t="s">
        <v>19</v>
      </c>
      <c r="M2" s="10" t="s">
        <v>20</v>
      </c>
      <c r="N2" s="10" t="s">
        <v>21</v>
      </c>
      <c r="O2" s="10" t="s">
        <v>22</v>
      </c>
      <c r="P2" s="10" t="s">
        <v>23</v>
      </c>
      <c r="Q2" s="10" t="s">
        <v>24</v>
      </c>
      <c r="R2" s="13" t="s">
        <v>25</v>
      </c>
      <c r="S2" s="14" t="s">
        <v>26</v>
      </c>
      <c r="T2" s="15" t="s">
        <v>27</v>
      </c>
      <c r="U2" s="15" t="s">
        <v>28</v>
      </c>
      <c r="V2" s="15" t="s">
        <v>29</v>
      </c>
      <c r="W2" s="15" t="s">
        <v>30</v>
      </c>
      <c r="X2" s="15" t="s">
        <v>31</v>
      </c>
      <c r="Y2" s="15" t="s">
        <v>32</v>
      </c>
      <c r="Z2" s="15" t="s">
        <v>33</v>
      </c>
      <c r="AA2" s="16" t="s">
        <v>34</v>
      </c>
      <c r="AB2" s="15" t="s">
        <v>35</v>
      </c>
      <c r="AC2" s="15" t="s">
        <v>36</v>
      </c>
      <c r="AD2" s="15" t="s">
        <v>37</v>
      </c>
      <c r="AE2" s="15" t="s">
        <v>38</v>
      </c>
      <c r="AF2" s="17" t="s">
        <v>39</v>
      </c>
      <c r="AG2" s="9" t="s">
        <v>40</v>
      </c>
      <c r="AH2" s="18" t="s">
        <v>41</v>
      </c>
      <c r="AI2" s="10" t="s">
        <v>42</v>
      </c>
      <c r="AJ2" s="10" t="s">
        <v>43</v>
      </c>
      <c r="AK2" s="10" t="s">
        <v>44</v>
      </c>
      <c r="AL2" s="10" t="s">
        <v>45</v>
      </c>
      <c r="AM2" s="10" t="s">
        <v>46</v>
      </c>
      <c r="AN2" s="10" t="s">
        <v>47</v>
      </c>
      <c r="AO2" s="10" t="s">
        <v>48</v>
      </c>
      <c r="AP2" s="19" t="s">
        <v>49</v>
      </c>
      <c r="AQ2" s="10" t="s">
        <v>50</v>
      </c>
      <c r="AR2" s="10" t="s">
        <v>51</v>
      </c>
      <c r="AS2" s="10" t="s">
        <v>52</v>
      </c>
      <c r="AT2" s="20" t="s">
        <v>53</v>
      </c>
      <c r="AU2" s="21" t="s">
        <v>54</v>
      </c>
      <c r="AV2" s="22" t="s">
        <v>55</v>
      </c>
      <c r="AW2" s="23" t="s">
        <v>56</v>
      </c>
      <c r="AX2" s="10" t="s">
        <v>57</v>
      </c>
      <c r="AY2" s="10" t="s">
        <v>58</v>
      </c>
      <c r="AZ2" s="10" t="s">
        <v>59</v>
      </c>
      <c r="BA2" s="10" t="s">
        <v>60</v>
      </c>
      <c r="BB2" s="10" t="s">
        <v>61</v>
      </c>
      <c r="BC2" s="23" t="s">
        <v>62</v>
      </c>
      <c r="BD2" s="10" t="s">
        <v>63</v>
      </c>
      <c r="BE2" s="10" t="s">
        <v>64</v>
      </c>
      <c r="BF2" s="22" t="s">
        <v>65</v>
      </c>
      <c r="BG2" s="23" t="s">
        <v>66</v>
      </c>
      <c r="BH2" s="18" t="s">
        <v>67</v>
      </c>
      <c r="BI2" s="10" t="s">
        <v>68</v>
      </c>
      <c r="BJ2" s="10" t="s">
        <v>69</v>
      </c>
      <c r="BK2" s="10" t="s">
        <v>70</v>
      </c>
      <c r="BL2" s="24" t="s">
        <v>71</v>
      </c>
      <c r="BM2" s="23" t="s">
        <v>72</v>
      </c>
      <c r="BN2" s="24" t="s">
        <v>73</v>
      </c>
      <c r="BO2" s="23" t="s">
        <v>74</v>
      </c>
      <c r="BP2" s="22" t="s">
        <v>75</v>
      </c>
      <c r="BQ2" s="25" t="s">
        <v>76</v>
      </c>
      <c r="BR2" s="19" t="s">
        <v>77</v>
      </c>
      <c r="BS2" s="19" t="s">
        <v>78</v>
      </c>
      <c r="BT2" s="26" t="s">
        <v>79</v>
      </c>
      <c r="BU2" s="9" t="s">
        <v>80</v>
      </c>
    </row>
    <row r="3" ht="19.5" customHeight="1">
      <c r="A3" s="27" t="s">
        <v>81</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9"/>
    </row>
    <row r="4" ht="36.0" customHeight="1" outlineLevel="1">
      <c r="A4" s="30" t="s">
        <v>82</v>
      </c>
      <c r="B4" s="31" t="s">
        <v>83</v>
      </c>
      <c r="C4" s="31" t="s">
        <v>84</v>
      </c>
      <c r="D4" s="31" t="s">
        <v>85</v>
      </c>
      <c r="E4" s="31" t="s">
        <v>86</v>
      </c>
      <c r="F4" s="31" t="s">
        <v>87</v>
      </c>
      <c r="G4" s="31" t="s">
        <v>88</v>
      </c>
      <c r="H4" s="31">
        <v>5.0</v>
      </c>
      <c r="I4" s="31">
        <v>1931.0</v>
      </c>
      <c r="J4" s="31" t="s">
        <v>89</v>
      </c>
      <c r="K4" s="32" t="s">
        <v>83</v>
      </c>
      <c r="L4" s="31" t="s">
        <v>90</v>
      </c>
      <c r="M4" s="33">
        <v>5.0</v>
      </c>
      <c r="N4" s="34">
        <v>1.0</v>
      </c>
      <c r="O4" s="34">
        <v>0.0</v>
      </c>
      <c r="P4" s="34">
        <v>0.0</v>
      </c>
      <c r="Q4" s="34">
        <v>1.0</v>
      </c>
      <c r="R4" s="35"/>
      <c r="S4" s="34">
        <v>250583.83</v>
      </c>
      <c r="T4" s="34" t="s">
        <v>91</v>
      </c>
      <c r="U4" s="34">
        <v>59200.0</v>
      </c>
      <c r="V4" s="34">
        <v>65.0</v>
      </c>
      <c r="W4" s="34" t="s">
        <v>92</v>
      </c>
      <c r="X4" s="34">
        <v>40.0</v>
      </c>
      <c r="Y4" s="34" t="s">
        <v>93</v>
      </c>
      <c r="Z4" s="34" t="s">
        <v>94</v>
      </c>
      <c r="AA4" s="34">
        <v>38.0</v>
      </c>
      <c r="AB4" s="34" t="s">
        <v>83</v>
      </c>
      <c r="AC4" s="34">
        <v>0.0</v>
      </c>
      <c r="AD4" s="34">
        <f t="shared" ref="AD4:AD5" si="1">SUM(AA3,AB3,AC3)</f>
        <v>0</v>
      </c>
      <c r="AE4" s="34">
        <v>0.0</v>
      </c>
      <c r="AF4" s="36" t="str">
        <f t="shared" ref="AF4:AF5" si="2">IFERROR(U4/AD4,"")</f>
        <v/>
      </c>
      <c r="AG4" s="31" t="s">
        <v>95</v>
      </c>
      <c r="AH4" s="34">
        <v>1.0</v>
      </c>
      <c r="AI4" s="34">
        <v>1.0</v>
      </c>
      <c r="AJ4" s="34" t="s">
        <v>96</v>
      </c>
      <c r="AK4" s="34" t="s">
        <v>97</v>
      </c>
      <c r="AL4" s="31" t="s">
        <v>98</v>
      </c>
      <c r="AM4" s="31">
        <v>55.0</v>
      </c>
      <c r="AN4" s="31"/>
      <c r="AO4" s="31" t="s">
        <v>99</v>
      </c>
      <c r="AP4" s="31"/>
      <c r="AQ4" s="37">
        <f t="shared" ref="AQ4:AQ5" si="3">IFERROR(AN4/(U4/10000),"")</f>
        <v>0</v>
      </c>
      <c r="AR4" s="31" t="s">
        <v>100</v>
      </c>
      <c r="AS4" s="31" t="s">
        <v>101</v>
      </c>
      <c r="AT4" s="32">
        <v>3.0</v>
      </c>
      <c r="AU4" s="31" t="s">
        <v>102</v>
      </c>
      <c r="AV4" s="31" t="s">
        <v>103</v>
      </c>
      <c r="AW4" s="38">
        <v>8.0</v>
      </c>
      <c r="AX4" s="31" t="s">
        <v>104</v>
      </c>
      <c r="AY4" s="31">
        <v>2.0</v>
      </c>
      <c r="AZ4" s="31">
        <v>14.0</v>
      </c>
      <c r="BA4" s="39">
        <v>14535.0</v>
      </c>
      <c r="BB4" s="39">
        <v>62530.0</v>
      </c>
      <c r="BC4" s="38">
        <v>70.0</v>
      </c>
      <c r="BD4" s="39">
        <v>390.0</v>
      </c>
      <c r="BE4" s="39"/>
      <c r="BF4" s="31" t="s">
        <v>105</v>
      </c>
      <c r="BG4" s="38">
        <v>0.0</v>
      </c>
      <c r="BH4" s="33">
        <v>0.0</v>
      </c>
      <c r="BI4" s="31" t="s">
        <v>106</v>
      </c>
      <c r="BJ4" s="39" t="s">
        <v>83</v>
      </c>
      <c r="BK4" s="39" t="s">
        <v>83</v>
      </c>
      <c r="BL4" s="39" t="s">
        <v>83</v>
      </c>
      <c r="BM4" s="40">
        <v>1.0</v>
      </c>
      <c r="BN4" s="31" t="s">
        <v>107</v>
      </c>
      <c r="BO4" s="40"/>
      <c r="BP4" s="31"/>
      <c r="BQ4" s="41" t="s">
        <v>108</v>
      </c>
      <c r="BR4" s="42" t="s">
        <v>109</v>
      </c>
      <c r="BS4" s="42" t="s">
        <v>110</v>
      </c>
      <c r="BT4" s="43" t="s">
        <v>111</v>
      </c>
      <c r="BU4" s="42" t="s">
        <v>112</v>
      </c>
    </row>
    <row r="5" ht="36.0" customHeight="1">
      <c r="A5" s="44" t="s">
        <v>113</v>
      </c>
      <c r="B5" s="45" t="s">
        <v>114</v>
      </c>
      <c r="C5" s="45" t="s">
        <v>115</v>
      </c>
      <c r="D5" s="45" t="s">
        <v>85</v>
      </c>
      <c r="E5" s="45" t="s">
        <v>116</v>
      </c>
      <c r="F5" s="45" t="s">
        <v>87</v>
      </c>
      <c r="G5" s="45" t="s">
        <v>117</v>
      </c>
      <c r="H5" s="45">
        <v>4.0</v>
      </c>
      <c r="I5" s="45">
        <v>2024.0</v>
      </c>
      <c r="J5" s="45" t="s">
        <v>118</v>
      </c>
      <c r="K5" s="46">
        <v>0.0</v>
      </c>
      <c r="L5" s="45" t="s">
        <v>119</v>
      </c>
      <c r="M5" s="47">
        <v>4.0</v>
      </c>
      <c r="N5" s="48">
        <v>1.0</v>
      </c>
      <c r="O5" s="48">
        <v>1.0</v>
      </c>
      <c r="P5" s="48">
        <v>1.0</v>
      </c>
      <c r="Q5" s="48">
        <v>1.0</v>
      </c>
      <c r="R5" s="49"/>
      <c r="S5" s="48">
        <v>334800.0</v>
      </c>
      <c r="T5" s="48" t="s">
        <v>91</v>
      </c>
      <c r="U5" s="48">
        <v>41000.0</v>
      </c>
      <c r="V5" s="48">
        <v>29.0</v>
      </c>
      <c r="W5" s="48" t="s">
        <v>120</v>
      </c>
      <c r="X5" s="48">
        <v>23.0</v>
      </c>
      <c r="Y5" s="48" t="s">
        <v>121</v>
      </c>
      <c r="Z5" s="48" t="s">
        <v>122</v>
      </c>
      <c r="AA5" s="48">
        <v>0.0</v>
      </c>
      <c r="AB5" s="48">
        <v>229.0</v>
      </c>
      <c r="AC5" s="48">
        <v>94.0</v>
      </c>
      <c r="AD5" s="48">
        <f t="shared" si="1"/>
        <v>38</v>
      </c>
      <c r="AE5" s="48">
        <v>396.0</v>
      </c>
      <c r="AF5" s="50">
        <f t="shared" si="2"/>
        <v>1078.947368</v>
      </c>
      <c r="AG5" s="45" t="s">
        <v>123</v>
      </c>
      <c r="AH5" s="48">
        <v>1.0</v>
      </c>
      <c r="AI5" s="48">
        <v>1.0</v>
      </c>
      <c r="AJ5" s="48" t="s">
        <v>124</v>
      </c>
      <c r="AK5" s="48" t="s">
        <v>125</v>
      </c>
      <c r="AL5" s="45" t="s">
        <v>98</v>
      </c>
      <c r="AM5" s="45">
        <v>2.0</v>
      </c>
      <c r="AN5" s="45">
        <v>26.0</v>
      </c>
      <c r="AO5" s="45" t="s">
        <v>126</v>
      </c>
      <c r="AP5" s="45"/>
      <c r="AQ5" s="51">
        <f t="shared" si="3"/>
        <v>6.341463415</v>
      </c>
      <c r="AR5" s="45" t="s">
        <v>127</v>
      </c>
      <c r="AS5" s="45" t="s">
        <v>128</v>
      </c>
      <c r="AT5" s="46">
        <v>1.0</v>
      </c>
      <c r="AU5" s="45" t="s">
        <v>103</v>
      </c>
      <c r="AV5" s="45" t="s">
        <v>129</v>
      </c>
      <c r="AW5" s="52">
        <v>1.0</v>
      </c>
      <c r="AX5" s="45" t="s">
        <v>130</v>
      </c>
      <c r="AY5" s="45">
        <v>4.0</v>
      </c>
      <c r="AZ5" s="45">
        <v>4.0</v>
      </c>
      <c r="BA5" s="53"/>
      <c r="BB5" s="53"/>
      <c r="BC5" s="52">
        <v>26.0</v>
      </c>
      <c r="BD5" s="53">
        <v>300.0</v>
      </c>
      <c r="BE5" s="53">
        <v>870.0</v>
      </c>
      <c r="BF5" s="45" t="s">
        <v>131</v>
      </c>
      <c r="BG5" s="52">
        <v>2.0</v>
      </c>
      <c r="BH5" s="47">
        <v>0.0</v>
      </c>
      <c r="BI5" s="45" t="s">
        <v>132</v>
      </c>
      <c r="BJ5" s="53"/>
      <c r="BK5" s="53">
        <v>794.0</v>
      </c>
      <c r="BL5" s="53">
        <v>2247.0</v>
      </c>
      <c r="BM5" s="54">
        <v>1.0</v>
      </c>
      <c r="BN5" s="45" t="s">
        <v>133</v>
      </c>
      <c r="BO5" s="54">
        <v>1.0</v>
      </c>
      <c r="BP5" s="45" t="s">
        <v>134</v>
      </c>
      <c r="BQ5" s="55" t="s">
        <v>135</v>
      </c>
      <c r="BR5" s="56" t="s">
        <v>136</v>
      </c>
      <c r="BS5" s="56" t="s">
        <v>137</v>
      </c>
      <c r="BT5" s="57" t="s">
        <v>138</v>
      </c>
      <c r="BU5" s="56" t="s">
        <v>139</v>
      </c>
    </row>
    <row r="6" ht="6.0" customHeight="1">
      <c r="A6" s="58"/>
      <c r="B6" s="59"/>
      <c r="C6" s="59"/>
      <c r="D6" s="59"/>
      <c r="E6" s="59"/>
      <c r="F6" s="59"/>
      <c r="G6" s="59"/>
      <c r="H6" s="59"/>
      <c r="I6" s="59"/>
      <c r="J6" s="59"/>
      <c r="K6" s="60"/>
      <c r="L6" s="59"/>
      <c r="M6" s="59"/>
      <c r="N6" s="59"/>
      <c r="O6" s="59"/>
      <c r="P6" s="59"/>
      <c r="Q6" s="59"/>
      <c r="R6" s="60"/>
      <c r="S6" s="59"/>
      <c r="T6" s="59"/>
      <c r="U6" s="59"/>
      <c r="V6" s="59"/>
      <c r="W6" s="61"/>
      <c r="X6" s="59"/>
      <c r="Y6" s="59"/>
      <c r="Z6" s="59"/>
      <c r="AA6" s="59"/>
      <c r="AB6" s="59"/>
      <c r="AC6" s="59"/>
      <c r="AD6" s="59"/>
      <c r="AE6" s="59"/>
      <c r="AF6" s="60"/>
      <c r="AG6" s="59"/>
      <c r="AH6" s="59"/>
      <c r="AI6" s="59"/>
      <c r="AJ6" s="59"/>
      <c r="AK6" s="59"/>
      <c r="AL6" s="59"/>
      <c r="AM6" s="59"/>
      <c r="AN6" s="59"/>
      <c r="AO6" s="59"/>
      <c r="AP6" s="59"/>
      <c r="AQ6" s="59"/>
      <c r="AR6" s="59"/>
      <c r="AS6" s="59"/>
      <c r="AT6" s="60"/>
      <c r="AU6" s="59"/>
      <c r="AV6" s="59"/>
      <c r="AW6" s="62"/>
      <c r="AX6" s="59"/>
      <c r="AY6" s="59"/>
      <c r="AZ6" s="59"/>
      <c r="BA6" s="59"/>
      <c r="BB6" s="59"/>
      <c r="BC6" s="62"/>
      <c r="BD6" s="59"/>
      <c r="BE6" s="59"/>
      <c r="BF6" s="59"/>
      <c r="BG6" s="62"/>
      <c r="BH6" s="59"/>
      <c r="BI6" s="59"/>
      <c r="BJ6" s="59"/>
      <c r="BK6" s="59"/>
      <c r="BL6" s="59"/>
      <c r="BM6" s="62"/>
      <c r="BN6" s="59"/>
      <c r="BO6" s="62"/>
      <c r="BP6" s="59"/>
      <c r="BQ6" s="63"/>
      <c r="BR6" s="64"/>
      <c r="BS6" s="64"/>
      <c r="BT6" s="65"/>
      <c r="BU6" s="64"/>
    </row>
    <row r="7" ht="36.0" customHeight="1" outlineLevel="1">
      <c r="A7" s="30" t="s">
        <v>140</v>
      </c>
      <c r="B7" s="31" t="s">
        <v>141</v>
      </c>
      <c r="C7" s="31" t="s">
        <v>84</v>
      </c>
      <c r="D7" s="31" t="s">
        <v>85</v>
      </c>
      <c r="E7" s="31" t="s">
        <v>142</v>
      </c>
      <c r="F7" s="31" t="s">
        <v>87</v>
      </c>
      <c r="G7" s="31" t="s">
        <v>143</v>
      </c>
      <c r="H7" s="31">
        <v>5.0</v>
      </c>
      <c r="I7" s="31">
        <v>2020.0</v>
      </c>
      <c r="J7" s="31" t="s">
        <v>144</v>
      </c>
      <c r="K7" s="32" t="s">
        <v>83</v>
      </c>
      <c r="L7" s="31" t="s">
        <v>145</v>
      </c>
      <c r="M7" s="33">
        <v>4.0</v>
      </c>
      <c r="N7" s="34">
        <v>1.0</v>
      </c>
      <c r="O7" s="34">
        <v>1.0</v>
      </c>
      <c r="P7" s="34">
        <v>0.0</v>
      </c>
      <c r="Q7" s="34">
        <v>1.0</v>
      </c>
      <c r="R7" s="35"/>
      <c r="S7" s="34">
        <v>187539.61</v>
      </c>
      <c r="T7" s="34">
        <v>208572.292</v>
      </c>
      <c r="U7" s="34">
        <v>53819.55</v>
      </c>
      <c r="V7" s="34">
        <v>97.0</v>
      </c>
      <c r="W7" s="34" t="s">
        <v>146</v>
      </c>
      <c r="X7" s="34">
        <v>46.0</v>
      </c>
      <c r="Y7" s="34" t="s">
        <v>147</v>
      </c>
      <c r="Z7" s="34" t="s">
        <v>122</v>
      </c>
      <c r="AA7" s="34">
        <v>97.0</v>
      </c>
      <c r="AB7" s="34" t="s">
        <v>83</v>
      </c>
      <c r="AC7" s="34">
        <v>0.0</v>
      </c>
      <c r="AD7" s="34">
        <f t="shared" ref="AD7:AD8" si="4">SUM(AA9,AB9,AC9)</f>
        <v>0</v>
      </c>
      <c r="AE7" s="34">
        <v>0.0</v>
      </c>
      <c r="AF7" s="36" t="str">
        <f t="shared" ref="AF7:AF8" si="5">IFERROR(U7/AD7,"")</f>
        <v/>
      </c>
      <c r="AG7" s="31" t="s">
        <v>148</v>
      </c>
      <c r="AH7" s="34">
        <v>1.0</v>
      </c>
      <c r="AI7" s="34">
        <v>1.0</v>
      </c>
      <c r="AJ7" s="34" t="s">
        <v>96</v>
      </c>
      <c r="AK7" s="34" t="s">
        <v>149</v>
      </c>
      <c r="AL7" s="31" t="s">
        <v>98</v>
      </c>
      <c r="AM7" s="31">
        <v>6.0</v>
      </c>
      <c r="AN7" s="31">
        <v>100.0</v>
      </c>
      <c r="AO7" s="31" t="s">
        <v>150</v>
      </c>
      <c r="AP7" s="31"/>
      <c r="AQ7" s="37">
        <f t="shared" ref="AQ7:AQ8" si="6">IFERROR(AN7/(U7/10000),"")</f>
        <v>18.58060872</v>
      </c>
      <c r="AR7" s="31" t="s">
        <v>151</v>
      </c>
      <c r="AS7" s="31" t="s">
        <v>152</v>
      </c>
      <c r="AT7" s="32">
        <v>2.0</v>
      </c>
      <c r="AU7" s="31" t="s">
        <v>102</v>
      </c>
      <c r="AV7" s="31" t="s">
        <v>103</v>
      </c>
      <c r="AW7" s="38">
        <v>5.0</v>
      </c>
      <c r="AX7" s="31" t="s">
        <v>153</v>
      </c>
      <c r="AY7" s="31">
        <v>5.0</v>
      </c>
      <c r="AZ7" s="31">
        <v>7.0</v>
      </c>
      <c r="BA7" s="39">
        <v>6200.0</v>
      </c>
      <c r="BB7" s="39">
        <v>8900.0</v>
      </c>
      <c r="BC7" s="38">
        <v>67.0</v>
      </c>
      <c r="BD7" s="39" t="s">
        <v>154</v>
      </c>
      <c r="BE7" s="39" t="s">
        <v>154</v>
      </c>
      <c r="BF7" s="31" t="s">
        <v>155</v>
      </c>
      <c r="BG7" s="38">
        <v>0.0</v>
      </c>
      <c r="BH7" s="33">
        <v>1.0</v>
      </c>
      <c r="BI7" s="31" t="s">
        <v>156</v>
      </c>
      <c r="BJ7" s="39" t="s">
        <v>83</v>
      </c>
      <c r="BK7" s="39" t="s">
        <v>83</v>
      </c>
      <c r="BL7" s="39" t="s">
        <v>83</v>
      </c>
      <c r="BM7" s="40">
        <v>1.0</v>
      </c>
      <c r="BN7" s="31" t="s">
        <v>157</v>
      </c>
      <c r="BO7" s="40">
        <v>0.0</v>
      </c>
      <c r="BP7" s="31" t="s">
        <v>158</v>
      </c>
      <c r="BQ7" s="41" t="s">
        <v>159</v>
      </c>
      <c r="BR7" s="42" t="s">
        <v>160</v>
      </c>
      <c r="BS7" s="42" t="s">
        <v>161</v>
      </c>
      <c r="BT7" s="43" t="s">
        <v>162</v>
      </c>
      <c r="BU7" s="42" t="s">
        <v>163</v>
      </c>
    </row>
    <row r="8" ht="36.0" customHeight="1">
      <c r="A8" s="44" t="s">
        <v>164</v>
      </c>
      <c r="B8" s="45" t="s">
        <v>165</v>
      </c>
      <c r="C8" s="45" t="s">
        <v>115</v>
      </c>
      <c r="D8" s="45" t="s">
        <v>85</v>
      </c>
      <c r="E8" s="45" t="s">
        <v>166</v>
      </c>
      <c r="F8" s="45" t="s">
        <v>167</v>
      </c>
      <c r="G8" s="45" t="s">
        <v>168</v>
      </c>
      <c r="H8" s="45">
        <v>3.0</v>
      </c>
      <c r="I8" s="45">
        <v>2021.0</v>
      </c>
      <c r="J8" s="45" t="s">
        <v>169</v>
      </c>
      <c r="K8" s="46">
        <v>0.0</v>
      </c>
      <c r="L8" s="45" t="s">
        <v>170</v>
      </c>
      <c r="M8" s="47">
        <v>3.0</v>
      </c>
      <c r="N8" s="48">
        <v>1.0</v>
      </c>
      <c r="O8" s="48">
        <v>1.0</v>
      </c>
      <c r="P8" s="48">
        <v>1.0</v>
      </c>
      <c r="Q8" s="48">
        <v>1.0</v>
      </c>
      <c r="R8" s="49"/>
      <c r="S8" s="48">
        <v>2614000.0</v>
      </c>
      <c r="T8" s="48">
        <v>376700.0</v>
      </c>
      <c r="U8" s="48">
        <v>43000.0</v>
      </c>
      <c r="V8" s="48">
        <v>28.0</v>
      </c>
      <c r="W8" s="48" t="s">
        <v>171</v>
      </c>
      <c r="X8" s="48">
        <v>22.0</v>
      </c>
      <c r="Y8" s="48" t="s">
        <v>172</v>
      </c>
      <c r="Z8" s="48" t="s">
        <v>122</v>
      </c>
      <c r="AA8" s="48">
        <v>0.0</v>
      </c>
      <c r="AB8" s="48">
        <v>123.0</v>
      </c>
      <c r="AC8" s="48">
        <v>10.0</v>
      </c>
      <c r="AD8" s="48">
        <f t="shared" si="4"/>
        <v>104</v>
      </c>
      <c r="AE8" s="48">
        <v>208.0</v>
      </c>
      <c r="AF8" s="50">
        <f t="shared" si="5"/>
        <v>413.4615385</v>
      </c>
      <c r="AG8" s="45" t="s">
        <v>173</v>
      </c>
      <c r="AH8" s="48">
        <v>1.0</v>
      </c>
      <c r="AI8" s="48">
        <v>1.0</v>
      </c>
      <c r="AJ8" s="48" t="s">
        <v>174</v>
      </c>
      <c r="AK8" s="48" t="s">
        <v>175</v>
      </c>
      <c r="AL8" s="45" t="s">
        <v>176</v>
      </c>
      <c r="AM8" s="45">
        <v>2.0</v>
      </c>
      <c r="AN8" s="45"/>
      <c r="AO8" s="45" t="s">
        <v>177</v>
      </c>
      <c r="AP8" s="45"/>
      <c r="AQ8" s="51">
        <f t="shared" si="6"/>
        <v>0</v>
      </c>
      <c r="AR8" s="45" t="s">
        <v>127</v>
      </c>
      <c r="AS8" s="45" t="s">
        <v>178</v>
      </c>
      <c r="AT8" s="46">
        <v>1.0</v>
      </c>
      <c r="AU8" s="45" t="s">
        <v>102</v>
      </c>
      <c r="AV8" s="45" t="s">
        <v>103</v>
      </c>
      <c r="AW8" s="52">
        <v>7.0</v>
      </c>
      <c r="AX8" s="45" t="s">
        <v>179</v>
      </c>
      <c r="AY8" s="45">
        <v>1.0</v>
      </c>
      <c r="AZ8" s="45">
        <v>6.0</v>
      </c>
      <c r="BA8" s="53">
        <v>2400.0</v>
      </c>
      <c r="BB8" s="53">
        <v>4600.0</v>
      </c>
      <c r="BC8" s="52">
        <v>60.0</v>
      </c>
      <c r="BD8" s="53">
        <v>33.0</v>
      </c>
      <c r="BE8" s="53">
        <v>352.0</v>
      </c>
      <c r="BF8" s="45" t="s">
        <v>180</v>
      </c>
      <c r="BG8" s="52">
        <v>2.0</v>
      </c>
      <c r="BH8" s="47">
        <v>0.0</v>
      </c>
      <c r="BI8" s="45" t="s">
        <v>181</v>
      </c>
      <c r="BJ8" s="53"/>
      <c r="BK8" s="53">
        <v>400.0</v>
      </c>
      <c r="BL8" s="53">
        <v>2600.0</v>
      </c>
      <c r="BM8" s="54">
        <v>1.0</v>
      </c>
      <c r="BN8" s="45" t="s">
        <v>182</v>
      </c>
      <c r="BO8" s="54">
        <v>0.0</v>
      </c>
      <c r="BP8" s="45" t="s">
        <v>183</v>
      </c>
      <c r="BQ8" s="55" t="s">
        <v>184</v>
      </c>
      <c r="BR8" s="56" t="s">
        <v>185</v>
      </c>
      <c r="BS8" s="56" t="s">
        <v>186</v>
      </c>
      <c r="BT8" s="57" t="s">
        <v>187</v>
      </c>
      <c r="BU8" s="56" t="s">
        <v>188</v>
      </c>
    </row>
    <row r="9" ht="6.0" customHeight="1">
      <c r="A9" s="58"/>
      <c r="B9" s="59"/>
      <c r="C9" s="59"/>
      <c r="D9" s="59"/>
      <c r="E9" s="59"/>
      <c r="F9" s="59"/>
      <c r="G9" s="59"/>
      <c r="H9" s="59"/>
      <c r="I9" s="59"/>
      <c r="J9" s="59"/>
      <c r="K9" s="60"/>
      <c r="L9" s="59"/>
      <c r="M9" s="59"/>
      <c r="N9" s="59"/>
      <c r="O9" s="59"/>
      <c r="P9" s="59"/>
      <c r="Q9" s="59"/>
      <c r="R9" s="60"/>
      <c r="S9" s="59"/>
      <c r="T9" s="59"/>
      <c r="U9" s="59"/>
      <c r="V9" s="59"/>
      <c r="W9" s="61"/>
      <c r="X9" s="59"/>
      <c r="Y9" s="59"/>
      <c r="Z9" s="59"/>
      <c r="AA9" s="59"/>
      <c r="AB9" s="59"/>
      <c r="AC9" s="59"/>
      <c r="AD9" s="59"/>
      <c r="AE9" s="59"/>
      <c r="AF9" s="60"/>
      <c r="AG9" s="59"/>
      <c r="AH9" s="59"/>
      <c r="AI9" s="59"/>
      <c r="AJ9" s="59"/>
      <c r="AK9" s="59"/>
      <c r="AL9" s="59"/>
      <c r="AM9" s="59"/>
      <c r="AN9" s="59"/>
      <c r="AO9" s="59"/>
      <c r="AP9" s="59"/>
      <c r="AQ9" s="59"/>
      <c r="AR9" s="59"/>
      <c r="AS9" s="59"/>
      <c r="AT9" s="60"/>
      <c r="AU9" s="59"/>
      <c r="AV9" s="59"/>
      <c r="AW9" s="62"/>
      <c r="AX9" s="59"/>
      <c r="AY9" s="59"/>
      <c r="AZ9" s="59"/>
      <c r="BA9" s="59"/>
      <c r="BB9" s="59"/>
      <c r="BC9" s="62"/>
      <c r="BD9" s="59"/>
      <c r="BE9" s="59"/>
      <c r="BF9" s="59"/>
      <c r="BG9" s="62"/>
      <c r="BH9" s="59"/>
      <c r="BI9" s="59"/>
      <c r="BJ9" s="59"/>
      <c r="BK9" s="59"/>
      <c r="BL9" s="59"/>
      <c r="BM9" s="62"/>
      <c r="BN9" s="59"/>
      <c r="BO9" s="62"/>
      <c r="BP9" s="59"/>
      <c r="BQ9" s="63"/>
      <c r="BR9" s="64"/>
      <c r="BS9" s="64"/>
      <c r="BT9" s="65"/>
      <c r="BU9" s="64"/>
    </row>
    <row r="10" ht="36.0" customHeight="1" outlineLevel="1">
      <c r="A10" s="30" t="s">
        <v>189</v>
      </c>
      <c r="B10" s="31" t="s">
        <v>190</v>
      </c>
      <c r="C10" s="31" t="s">
        <v>84</v>
      </c>
      <c r="D10" s="31" t="s">
        <v>85</v>
      </c>
      <c r="E10" s="31" t="s">
        <v>191</v>
      </c>
      <c r="F10" s="31" t="s">
        <v>87</v>
      </c>
      <c r="G10" s="31" t="s">
        <v>192</v>
      </c>
      <c r="H10" s="31">
        <v>4.0</v>
      </c>
      <c r="I10" s="31">
        <v>2008.0</v>
      </c>
      <c r="J10" s="31" t="s">
        <v>193</v>
      </c>
      <c r="K10" s="32" t="s">
        <v>83</v>
      </c>
      <c r="L10" s="31"/>
      <c r="M10" s="33">
        <v>4.0</v>
      </c>
      <c r="N10" s="34">
        <v>1.0</v>
      </c>
      <c r="O10" s="34">
        <v>0.0</v>
      </c>
      <c r="P10" s="34">
        <v>0.0</v>
      </c>
      <c r="Q10" s="34">
        <v>1.0</v>
      </c>
      <c r="R10" s="35"/>
      <c r="S10" s="34">
        <v>645834.63</v>
      </c>
      <c r="T10" s="34">
        <v>290625.58</v>
      </c>
      <c r="U10" s="34">
        <v>86111.28</v>
      </c>
      <c r="V10" s="34">
        <v>90.0</v>
      </c>
      <c r="W10" s="34" t="s">
        <v>194</v>
      </c>
      <c r="X10" s="34">
        <v>54.0</v>
      </c>
      <c r="Y10" s="34" t="s">
        <v>195</v>
      </c>
      <c r="Z10" s="34" t="s">
        <v>122</v>
      </c>
      <c r="AA10" s="34">
        <v>93.0</v>
      </c>
      <c r="AB10" s="34" t="s">
        <v>83</v>
      </c>
      <c r="AC10" s="34">
        <v>11.0</v>
      </c>
      <c r="AD10" s="34">
        <f t="shared" ref="AD10:AD11" si="7">SUM(AA12,AB12,AC12)</f>
        <v>0</v>
      </c>
      <c r="AE10" s="34">
        <v>596.0</v>
      </c>
      <c r="AF10" s="36" t="str">
        <f t="shared" ref="AF10:AF11" si="8">IFERROR(U10/AD10,"")</f>
        <v/>
      </c>
      <c r="AG10" s="31" t="s">
        <v>173</v>
      </c>
      <c r="AH10" s="34">
        <v>1.0</v>
      </c>
      <c r="AI10" s="34">
        <v>1.0</v>
      </c>
      <c r="AJ10" s="34" t="s">
        <v>96</v>
      </c>
      <c r="AK10" s="34" t="s">
        <v>196</v>
      </c>
      <c r="AL10" s="31" t="s">
        <v>98</v>
      </c>
      <c r="AM10" s="31">
        <v>30.0</v>
      </c>
      <c r="AN10" s="31">
        <v>350.0</v>
      </c>
      <c r="AO10" s="31" t="s">
        <v>197</v>
      </c>
      <c r="AP10" s="31"/>
      <c r="AQ10" s="37">
        <f t="shared" ref="AQ10:AQ11" si="9">IFERROR(AN10/(U10/10000),"")</f>
        <v>40.64508157</v>
      </c>
      <c r="AR10" s="31" t="s">
        <v>100</v>
      </c>
      <c r="AS10" s="31" t="s">
        <v>198</v>
      </c>
      <c r="AT10" s="32">
        <v>2.0</v>
      </c>
      <c r="AU10" s="31" t="s">
        <v>102</v>
      </c>
      <c r="AV10" s="31" t="s">
        <v>103</v>
      </c>
      <c r="AW10" s="38">
        <v>9.0</v>
      </c>
      <c r="AX10" s="31" t="s">
        <v>199</v>
      </c>
      <c r="AY10" s="31">
        <v>3.0</v>
      </c>
      <c r="AZ10" s="31">
        <v>14.0</v>
      </c>
      <c r="BA10" s="39">
        <v>3130.0</v>
      </c>
      <c r="BB10" s="39">
        <v>23660.0</v>
      </c>
      <c r="BC10" s="38">
        <v>210.0</v>
      </c>
      <c r="BD10" s="39">
        <v>43.0</v>
      </c>
      <c r="BE10" s="39">
        <v>9600.0</v>
      </c>
      <c r="BF10" s="31" t="s">
        <v>200</v>
      </c>
      <c r="BG10" s="38">
        <v>0.0</v>
      </c>
      <c r="BH10" s="33">
        <v>1.0</v>
      </c>
      <c r="BI10" s="31" t="s">
        <v>201</v>
      </c>
      <c r="BJ10" s="39" t="s">
        <v>83</v>
      </c>
      <c r="BK10" s="39" t="s">
        <v>83</v>
      </c>
      <c r="BL10" s="39" t="s">
        <v>83</v>
      </c>
      <c r="BM10" s="40">
        <v>1.0</v>
      </c>
      <c r="BN10" s="31" t="s">
        <v>202</v>
      </c>
      <c r="BO10" s="40">
        <v>1.0</v>
      </c>
      <c r="BP10" s="31" t="s">
        <v>203</v>
      </c>
      <c r="BQ10" s="41" t="s">
        <v>204</v>
      </c>
      <c r="BR10" s="42" t="s">
        <v>205</v>
      </c>
      <c r="BS10" s="42" t="s">
        <v>206</v>
      </c>
      <c r="BT10" s="43" t="s">
        <v>207</v>
      </c>
      <c r="BU10" s="42" t="s">
        <v>208</v>
      </c>
    </row>
    <row r="11" ht="36.0" customHeight="1">
      <c r="A11" s="44" t="s">
        <v>209</v>
      </c>
      <c r="B11" s="45" t="s">
        <v>210</v>
      </c>
      <c r="C11" s="45" t="s">
        <v>84</v>
      </c>
      <c r="D11" s="45" t="s">
        <v>211</v>
      </c>
      <c r="E11" s="45" t="s">
        <v>212</v>
      </c>
      <c r="F11" s="45" t="s">
        <v>87</v>
      </c>
      <c r="G11" s="45" t="s">
        <v>143</v>
      </c>
      <c r="H11" s="45">
        <v>5.0</v>
      </c>
      <c r="I11" s="66">
        <v>46204.0</v>
      </c>
      <c r="J11" s="45" t="s">
        <v>213</v>
      </c>
      <c r="K11" s="46">
        <v>0.0</v>
      </c>
      <c r="L11" s="45" t="s">
        <v>214</v>
      </c>
      <c r="M11" s="47">
        <v>4.0</v>
      </c>
      <c r="N11" s="48">
        <v>1.0</v>
      </c>
      <c r="O11" s="48">
        <v>1.0</v>
      </c>
      <c r="P11" s="48">
        <v>1.0</v>
      </c>
      <c r="Q11" s="48">
        <v>1.0</v>
      </c>
      <c r="R11" s="49"/>
      <c r="S11" s="48">
        <v>1345488.8</v>
      </c>
      <c r="T11" s="48" t="s">
        <v>215</v>
      </c>
      <c r="U11" s="48" t="s">
        <v>215</v>
      </c>
      <c r="V11" s="48">
        <v>110.0</v>
      </c>
      <c r="W11" s="48" t="s">
        <v>216</v>
      </c>
      <c r="X11" s="48" t="s">
        <v>217</v>
      </c>
      <c r="Y11" s="48" t="s">
        <v>217</v>
      </c>
      <c r="Z11" s="48" t="s">
        <v>122</v>
      </c>
      <c r="AA11" s="48">
        <v>120.0</v>
      </c>
      <c r="AB11" s="48" t="s">
        <v>83</v>
      </c>
      <c r="AC11" s="48">
        <v>159.0</v>
      </c>
      <c r="AD11" s="48">
        <f t="shared" si="7"/>
        <v>67</v>
      </c>
      <c r="AE11" s="48">
        <v>284.0</v>
      </c>
      <c r="AF11" s="50" t="str">
        <f t="shared" si="8"/>
        <v/>
      </c>
      <c r="AG11" s="45" t="s">
        <v>218</v>
      </c>
      <c r="AH11" s="48">
        <v>1.0</v>
      </c>
      <c r="AI11" s="48">
        <v>1.0</v>
      </c>
      <c r="AJ11" s="48" t="s">
        <v>96</v>
      </c>
      <c r="AK11" s="48" t="s">
        <v>219</v>
      </c>
      <c r="AL11" s="45" t="s">
        <v>98</v>
      </c>
      <c r="AM11" s="45" t="s">
        <v>220</v>
      </c>
      <c r="AN11" s="45" t="s">
        <v>215</v>
      </c>
      <c r="AO11" s="45" t="s">
        <v>221</v>
      </c>
      <c r="AP11" s="45"/>
      <c r="AQ11" s="51" t="str">
        <f t="shared" si="9"/>
        <v/>
      </c>
      <c r="AR11" s="45" t="s">
        <v>100</v>
      </c>
      <c r="AS11" s="45" t="s">
        <v>222</v>
      </c>
      <c r="AT11" s="46">
        <v>3.0</v>
      </c>
      <c r="AU11" s="45" t="s">
        <v>102</v>
      </c>
      <c r="AV11" s="45" t="s">
        <v>223</v>
      </c>
      <c r="AW11" s="52" t="s">
        <v>224</v>
      </c>
      <c r="AX11" s="45" t="s">
        <v>225</v>
      </c>
      <c r="AY11" s="45"/>
      <c r="AZ11" s="45"/>
      <c r="BA11" s="53"/>
      <c r="BB11" s="53"/>
      <c r="BC11" s="52" t="s">
        <v>224</v>
      </c>
      <c r="BD11" s="53"/>
      <c r="BE11" s="53"/>
      <c r="BF11" s="45" t="s">
        <v>225</v>
      </c>
      <c r="BG11" s="52">
        <v>1.0</v>
      </c>
      <c r="BH11" s="47">
        <v>1.0</v>
      </c>
      <c r="BI11" s="45" t="s">
        <v>226</v>
      </c>
      <c r="BJ11" s="53" t="s">
        <v>227</v>
      </c>
      <c r="BK11" s="53" t="s">
        <v>228</v>
      </c>
      <c r="BL11" s="53" t="s">
        <v>228</v>
      </c>
      <c r="BM11" s="54">
        <v>1.0</v>
      </c>
      <c r="BN11" s="45" t="s">
        <v>229</v>
      </c>
      <c r="BO11" s="54">
        <v>1.0</v>
      </c>
      <c r="BP11" s="45" t="s">
        <v>230</v>
      </c>
      <c r="BQ11" s="55" t="s">
        <v>231</v>
      </c>
      <c r="BR11" s="56" t="s">
        <v>232</v>
      </c>
      <c r="BS11" s="56" t="s">
        <v>233</v>
      </c>
      <c r="BT11" s="57" t="s">
        <v>234</v>
      </c>
      <c r="BU11" s="56" t="s">
        <v>235</v>
      </c>
    </row>
    <row r="12" ht="6.0" customHeight="1">
      <c r="A12" s="58"/>
      <c r="B12" s="59"/>
      <c r="C12" s="59"/>
      <c r="D12" s="59"/>
      <c r="E12" s="59"/>
      <c r="F12" s="59"/>
      <c r="G12" s="59"/>
      <c r="H12" s="59"/>
      <c r="I12" s="59"/>
      <c r="J12" s="59"/>
      <c r="K12" s="60"/>
      <c r="L12" s="59"/>
      <c r="M12" s="59"/>
      <c r="N12" s="59"/>
      <c r="O12" s="59"/>
      <c r="P12" s="59"/>
      <c r="Q12" s="59"/>
      <c r="R12" s="60"/>
      <c r="S12" s="59"/>
      <c r="T12" s="59"/>
      <c r="U12" s="59"/>
      <c r="V12" s="59"/>
      <c r="W12" s="61"/>
      <c r="X12" s="59"/>
      <c r="Y12" s="59"/>
      <c r="Z12" s="59"/>
      <c r="AA12" s="59"/>
      <c r="AB12" s="59"/>
      <c r="AC12" s="59"/>
      <c r="AD12" s="59"/>
      <c r="AE12" s="59"/>
      <c r="AF12" s="60"/>
      <c r="AG12" s="59"/>
      <c r="AH12" s="59"/>
      <c r="AI12" s="59"/>
      <c r="AJ12" s="59"/>
      <c r="AK12" s="59"/>
      <c r="AL12" s="59"/>
      <c r="AM12" s="59"/>
      <c r="AN12" s="59"/>
      <c r="AO12" s="59"/>
      <c r="AP12" s="59"/>
      <c r="AQ12" s="59"/>
      <c r="AR12" s="59"/>
      <c r="AS12" s="59"/>
      <c r="AT12" s="60"/>
      <c r="AU12" s="59"/>
      <c r="AV12" s="59"/>
      <c r="AW12" s="62"/>
      <c r="AX12" s="59"/>
      <c r="AY12" s="59"/>
      <c r="AZ12" s="59"/>
      <c r="BA12" s="59"/>
      <c r="BB12" s="59"/>
      <c r="BC12" s="62"/>
      <c r="BD12" s="59"/>
      <c r="BE12" s="59"/>
      <c r="BF12" s="59"/>
      <c r="BG12" s="62"/>
      <c r="BH12" s="59"/>
      <c r="BI12" s="59"/>
      <c r="BJ12" s="59"/>
      <c r="BK12" s="59"/>
      <c r="BL12" s="59"/>
      <c r="BM12" s="62"/>
      <c r="BN12" s="59"/>
      <c r="BO12" s="62"/>
      <c r="BP12" s="59"/>
      <c r="BQ12" s="63"/>
      <c r="BR12" s="64"/>
      <c r="BS12" s="64"/>
      <c r="BT12" s="65"/>
      <c r="BU12" s="64"/>
    </row>
    <row r="13" ht="36.0" customHeight="1" outlineLevel="1">
      <c r="A13" s="30" t="s">
        <v>236</v>
      </c>
      <c r="B13" s="31" t="s">
        <v>237</v>
      </c>
      <c r="C13" s="31" t="s">
        <v>84</v>
      </c>
      <c r="D13" s="31" t="s">
        <v>85</v>
      </c>
      <c r="E13" s="31" t="s">
        <v>238</v>
      </c>
      <c r="F13" s="31" t="s">
        <v>87</v>
      </c>
      <c r="G13" s="31" t="s">
        <v>239</v>
      </c>
      <c r="H13" s="31">
        <v>4.0</v>
      </c>
      <c r="I13" s="31">
        <v>1984.0</v>
      </c>
      <c r="J13" s="31" t="s">
        <v>240</v>
      </c>
      <c r="K13" s="32">
        <v>0.0</v>
      </c>
      <c r="L13" s="31" t="s">
        <v>241</v>
      </c>
      <c r="M13" s="33">
        <v>4.0</v>
      </c>
      <c r="N13" s="34">
        <v>0.0</v>
      </c>
      <c r="O13" s="34">
        <v>1.0</v>
      </c>
      <c r="P13" s="34">
        <v>0.0</v>
      </c>
      <c r="Q13" s="34">
        <v>1.0</v>
      </c>
      <c r="R13" s="35"/>
      <c r="S13" s="34">
        <v>107639.1</v>
      </c>
      <c r="T13" s="34">
        <v>63054.987</v>
      </c>
      <c r="U13" s="34">
        <v>32291.73</v>
      </c>
      <c r="V13" s="34">
        <v>48.0</v>
      </c>
      <c r="W13" s="34" t="s">
        <v>242</v>
      </c>
      <c r="X13" s="34">
        <v>38.0</v>
      </c>
      <c r="Y13" s="34" t="s">
        <v>243</v>
      </c>
      <c r="Z13" s="34" t="s">
        <v>122</v>
      </c>
      <c r="AA13" s="34">
        <v>67.0</v>
      </c>
      <c r="AB13" s="34" t="s">
        <v>83</v>
      </c>
      <c r="AC13" s="34">
        <v>0.0</v>
      </c>
      <c r="AD13" s="34">
        <f t="shared" ref="AD13:AD14" si="10">SUM(AA15,AB15,AC15)</f>
        <v>0</v>
      </c>
      <c r="AE13" s="34">
        <v>0.0</v>
      </c>
      <c r="AF13" s="36" t="str">
        <f t="shared" ref="AF13:AF14" si="11">IFERROR(U13/AD13,"")</f>
        <v/>
      </c>
      <c r="AG13" s="31" t="s">
        <v>173</v>
      </c>
      <c r="AH13" s="34">
        <v>1.0</v>
      </c>
      <c r="AI13" s="34">
        <v>1.0</v>
      </c>
      <c r="AJ13" s="34" t="s">
        <v>96</v>
      </c>
      <c r="AK13" s="34" t="s">
        <v>244</v>
      </c>
      <c r="AL13" s="31" t="s">
        <v>98</v>
      </c>
      <c r="AM13" s="31">
        <v>8.0</v>
      </c>
      <c r="AN13" s="31">
        <v>50.0</v>
      </c>
      <c r="AO13" s="31" t="s">
        <v>245</v>
      </c>
      <c r="AP13" s="31">
        <v>35.0</v>
      </c>
      <c r="AQ13" s="37">
        <f t="shared" ref="AQ13:AQ14" si="12">IFERROR(AN13/(U13/10000),"")</f>
        <v>15.4838406</v>
      </c>
      <c r="AR13" s="31" t="s">
        <v>151</v>
      </c>
      <c r="AS13" s="31" t="s">
        <v>246</v>
      </c>
      <c r="AT13" s="32">
        <v>2.0</v>
      </c>
      <c r="AU13" s="31" t="s">
        <v>102</v>
      </c>
      <c r="AV13" s="31" t="s">
        <v>103</v>
      </c>
      <c r="AW13" s="38">
        <v>10.0</v>
      </c>
      <c r="AX13" s="31" t="s">
        <v>247</v>
      </c>
      <c r="AY13" s="31">
        <v>7.0</v>
      </c>
      <c r="AZ13" s="31">
        <v>21.0</v>
      </c>
      <c r="BA13" s="39">
        <v>3200.0</v>
      </c>
      <c r="BB13" s="39">
        <v>8600.0</v>
      </c>
      <c r="BC13" s="38">
        <v>90.0</v>
      </c>
      <c r="BD13" s="39">
        <v>70.0</v>
      </c>
      <c r="BE13" s="39">
        <v>2171.0</v>
      </c>
      <c r="BF13" s="31" t="s">
        <v>248</v>
      </c>
      <c r="BG13" s="38">
        <v>0.0</v>
      </c>
      <c r="BH13" s="33">
        <v>0.0</v>
      </c>
      <c r="BI13" s="39" t="s">
        <v>249</v>
      </c>
      <c r="BJ13" s="39" t="s">
        <v>83</v>
      </c>
      <c r="BK13" s="39" t="s">
        <v>83</v>
      </c>
      <c r="BL13" s="39" t="s">
        <v>83</v>
      </c>
      <c r="BM13" s="40">
        <v>1.0</v>
      </c>
      <c r="BN13" s="31" t="s">
        <v>250</v>
      </c>
      <c r="BO13" s="40">
        <v>0.0</v>
      </c>
      <c r="BP13" s="31" t="s">
        <v>251</v>
      </c>
      <c r="BQ13" s="41" t="s">
        <v>252</v>
      </c>
      <c r="BR13" s="42" t="s">
        <v>253</v>
      </c>
      <c r="BS13" s="42" t="s">
        <v>254</v>
      </c>
      <c r="BT13" s="43" t="s">
        <v>255</v>
      </c>
      <c r="BU13" s="42" t="s">
        <v>256</v>
      </c>
    </row>
    <row r="14" ht="36.0" customHeight="1">
      <c r="A14" s="44" t="s">
        <v>257</v>
      </c>
      <c r="B14" s="45" t="s">
        <v>258</v>
      </c>
      <c r="C14" s="45" t="s">
        <v>115</v>
      </c>
      <c r="D14" s="45" t="s">
        <v>85</v>
      </c>
      <c r="E14" s="45" t="s">
        <v>259</v>
      </c>
      <c r="F14" s="45" t="s">
        <v>87</v>
      </c>
      <c r="G14" s="45" t="s">
        <v>260</v>
      </c>
      <c r="H14" s="45">
        <v>4.0</v>
      </c>
      <c r="I14" s="45" t="s">
        <v>261</v>
      </c>
      <c r="J14" s="45" t="s">
        <v>262</v>
      </c>
      <c r="K14" s="46">
        <v>0.0</v>
      </c>
      <c r="L14" s="45" t="s">
        <v>263</v>
      </c>
      <c r="M14" s="47">
        <v>3.0</v>
      </c>
      <c r="N14" s="48">
        <v>0.0</v>
      </c>
      <c r="O14" s="48">
        <v>1.0</v>
      </c>
      <c r="P14" s="48">
        <v>1.0</v>
      </c>
      <c r="Q14" s="48">
        <v>1.0</v>
      </c>
      <c r="R14" s="49">
        <v>1.0</v>
      </c>
      <c r="S14" s="48" t="s">
        <v>91</v>
      </c>
      <c r="T14" s="48" t="s">
        <v>91</v>
      </c>
      <c r="U14" s="48">
        <v>21528.0</v>
      </c>
      <c r="V14" s="48">
        <v>14.0</v>
      </c>
      <c r="W14" s="48" t="s">
        <v>264</v>
      </c>
      <c r="X14" s="48">
        <v>24.0</v>
      </c>
      <c r="Y14" s="48" t="s">
        <v>265</v>
      </c>
      <c r="Z14" s="48" t="s">
        <v>266</v>
      </c>
      <c r="AA14" s="48">
        <v>0.0</v>
      </c>
      <c r="AB14" s="48">
        <v>16.0</v>
      </c>
      <c r="AC14" s="48">
        <v>0.0</v>
      </c>
      <c r="AD14" s="48">
        <f t="shared" si="10"/>
        <v>181</v>
      </c>
      <c r="AE14" s="45">
        <v>0.0</v>
      </c>
      <c r="AF14" s="50">
        <f t="shared" si="11"/>
        <v>118.9392265</v>
      </c>
      <c r="AG14" s="45" t="s">
        <v>267</v>
      </c>
      <c r="AH14" s="48">
        <v>1.0</v>
      </c>
      <c r="AI14" s="48">
        <v>1.0</v>
      </c>
      <c r="AJ14" s="48" t="s">
        <v>174</v>
      </c>
      <c r="AK14" s="48" t="s">
        <v>268</v>
      </c>
      <c r="AL14" s="45" t="s">
        <v>98</v>
      </c>
      <c r="AM14" s="45">
        <v>16.0</v>
      </c>
      <c r="AN14" s="45">
        <v>28.0</v>
      </c>
      <c r="AO14" s="51" t="s">
        <v>269</v>
      </c>
      <c r="AP14" s="51"/>
      <c r="AQ14" s="51">
        <f t="shared" si="12"/>
        <v>13.00631735</v>
      </c>
      <c r="AR14" s="45" t="s">
        <v>127</v>
      </c>
      <c r="AS14" s="45" t="s">
        <v>270</v>
      </c>
      <c r="AT14" s="46">
        <v>2.0</v>
      </c>
      <c r="AU14" s="45" t="s">
        <v>129</v>
      </c>
      <c r="AV14" s="45" t="s">
        <v>103</v>
      </c>
      <c r="AW14" s="54">
        <v>4.0</v>
      </c>
      <c r="AX14" s="47" t="s">
        <v>271</v>
      </c>
      <c r="AY14" s="45">
        <v>7.0</v>
      </c>
      <c r="AZ14" s="45">
        <v>21.0</v>
      </c>
      <c r="BA14" s="53">
        <v>3150.0</v>
      </c>
      <c r="BB14" s="53">
        <v>11340.0</v>
      </c>
      <c r="BC14" s="52">
        <v>70.0</v>
      </c>
      <c r="BD14" s="53">
        <v>25.0</v>
      </c>
      <c r="BE14" s="53">
        <v>3717.0</v>
      </c>
      <c r="BF14" s="53" t="s">
        <v>272</v>
      </c>
      <c r="BG14" s="54">
        <v>6.0</v>
      </c>
      <c r="BH14" s="45"/>
      <c r="BI14" s="45" t="s">
        <v>273</v>
      </c>
      <c r="BJ14" s="53">
        <v>2016.0</v>
      </c>
      <c r="BK14" s="53">
        <v>453.57</v>
      </c>
      <c r="BL14" s="53">
        <v>690.0</v>
      </c>
      <c r="BM14" s="54">
        <v>1.0</v>
      </c>
      <c r="BN14" s="45" t="s">
        <v>274</v>
      </c>
      <c r="BO14" s="54">
        <v>0.0</v>
      </c>
      <c r="BP14" s="45" t="s">
        <v>275</v>
      </c>
      <c r="BQ14" s="55" t="s">
        <v>276</v>
      </c>
      <c r="BR14" s="56" t="s">
        <v>277</v>
      </c>
      <c r="BS14" s="56" t="s">
        <v>278</v>
      </c>
      <c r="BT14" s="57" t="s">
        <v>279</v>
      </c>
      <c r="BU14" s="56" t="s">
        <v>280</v>
      </c>
    </row>
    <row r="15" ht="6.0" customHeight="1">
      <c r="A15" s="58"/>
      <c r="B15" s="59"/>
      <c r="C15" s="59"/>
      <c r="D15" s="59"/>
      <c r="E15" s="59"/>
      <c r="F15" s="59"/>
      <c r="G15" s="59"/>
      <c r="H15" s="59"/>
      <c r="I15" s="59"/>
      <c r="J15" s="59"/>
      <c r="K15" s="60"/>
      <c r="L15" s="59"/>
      <c r="M15" s="59"/>
      <c r="N15" s="59"/>
      <c r="O15" s="59"/>
      <c r="P15" s="59"/>
      <c r="Q15" s="59"/>
      <c r="R15" s="60"/>
      <c r="S15" s="59"/>
      <c r="T15" s="59"/>
      <c r="U15" s="59"/>
      <c r="V15" s="59"/>
      <c r="W15" s="61"/>
      <c r="X15" s="59"/>
      <c r="Y15" s="59"/>
      <c r="Z15" s="59"/>
      <c r="AA15" s="59"/>
      <c r="AB15" s="59"/>
      <c r="AC15" s="59"/>
      <c r="AD15" s="59"/>
      <c r="AE15" s="59"/>
      <c r="AF15" s="60"/>
      <c r="AG15" s="59"/>
      <c r="AH15" s="59"/>
      <c r="AI15" s="59"/>
      <c r="AJ15" s="59"/>
      <c r="AK15" s="59"/>
      <c r="AL15" s="59"/>
      <c r="AM15" s="59"/>
      <c r="AN15" s="59"/>
      <c r="AO15" s="59"/>
      <c r="AP15" s="59"/>
      <c r="AQ15" s="59"/>
      <c r="AR15" s="59"/>
      <c r="AS15" s="59"/>
      <c r="AT15" s="60"/>
      <c r="AU15" s="59"/>
      <c r="AV15" s="59"/>
      <c r="AW15" s="62"/>
      <c r="AX15" s="59"/>
      <c r="AY15" s="59"/>
      <c r="AZ15" s="59"/>
      <c r="BA15" s="59"/>
      <c r="BB15" s="59"/>
      <c r="BC15" s="62"/>
      <c r="BD15" s="59"/>
      <c r="BE15" s="59"/>
      <c r="BF15" s="59"/>
      <c r="BG15" s="62"/>
      <c r="BH15" s="59"/>
      <c r="BI15" s="59"/>
      <c r="BJ15" s="59"/>
      <c r="BK15" s="59"/>
      <c r="BL15" s="59"/>
      <c r="BM15" s="62"/>
      <c r="BN15" s="59"/>
      <c r="BO15" s="62"/>
      <c r="BP15" s="59"/>
      <c r="BQ15" s="63"/>
      <c r="BR15" s="64"/>
      <c r="BS15" s="64"/>
      <c r="BT15" s="65"/>
      <c r="BU15" s="64"/>
    </row>
    <row r="16" ht="36.0" customHeight="1" outlineLevel="1">
      <c r="A16" s="30" t="s">
        <v>281</v>
      </c>
      <c r="B16" s="31" t="s">
        <v>282</v>
      </c>
      <c r="C16" s="31" t="s">
        <v>115</v>
      </c>
      <c r="D16" s="31" t="s">
        <v>85</v>
      </c>
      <c r="E16" s="31" t="s">
        <v>259</v>
      </c>
      <c r="F16" s="31" t="s">
        <v>283</v>
      </c>
      <c r="G16" s="31" t="s">
        <v>168</v>
      </c>
      <c r="H16" s="31">
        <v>4.0</v>
      </c>
      <c r="I16" s="31" t="s">
        <v>284</v>
      </c>
      <c r="J16" s="31" t="s">
        <v>285</v>
      </c>
      <c r="K16" s="32">
        <v>1.0</v>
      </c>
      <c r="L16" s="31" t="s">
        <v>286</v>
      </c>
      <c r="M16" s="33">
        <v>1.0</v>
      </c>
      <c r="N16" s="34">
        <v>1.0</v>
      </c>
      <c r="O16" s="34">
        <v>1.0</v>
      </c>
      <c r="P16" s="34">
        <v>1.0</v>
      </c>
      <c r="Q16" s="34">
        <v>1.0</v>
      </c>
      <c r="R16" s="35">
        <v>1.0</v>
      </c>
      <c r="S16" s="34" t="s">
        <v>91</v>
      </c>
      <c r="T16" s="34" t="s">
        <v>91</v>
      </c>
      <c r="U16" s="34" t="s">
        <v>287</v>
      </c>
      <c r="V16" s="34">
        <v>0.0</v>
      </c>
      <c r="W16" s="34" t="s">
        <v>288</v>
      </c>
      <c r="X16" s="34">
        <v>19.0</v>
      </c>
      <c r="Y16" s="34" t="s">
        <v>289</v>
      </c>
      <c r="Z16" s="34" t="s">
        <v>290</v>
      </c>
      <c r="AA16" s="34">
        <v>0.0</v>
      </c>
      <c r="AB16" s="34">
        <v>181.0</v>
      </c>
      <c r="AC16" s="34">
        <v>0.0</v>
      </c>
      <c r="AD16" s="34">
        <f>SUM(AA18,AB18,AC18)</f>
        <v>109</v>
      </c>
      <c r="AE16" s="34">
        <v>50.0</v>
      </c>
      <c r="AF16" s="36" t="str">
        <f>IFERROR(U16/AD16,"")</f>
        <v/>
      </c>
      <c r="AG16" s="31" t="s">
        <v>123</v>
      </c>
      <c r="AH16" s="34">
        <v>1.0</v>
      </c>
      <c r="AI16" s="34">
        <v>1.0</v>
      </c>
      <c r="AJ16" s="34" t="s">
        <v>174</v>
      </c>
      <c r="AK16" s="34" t="s">
        <v>291</v>
      </c>
      <c r="AL16" s="31" t="s">
        <v>292</v>
      </c>
      <c r="AM16" s="31">
        <v>0.0</v>
      </c>
      <c r="AN16" s="31">
        <v>15.0</v>
      </c>
      <c r="AO16" s="31" t="s">
        <v>293</v>
      </c>
      <c r="AP16" s="31">
        <v>0.0</v>
      </c>
      <c r="AQ16" s="37" t="str">
        <f>IFERROR(AN16/(U16/10000),"")</f>
        <v/>
      </c>
      <c r="AR16" s="31" t="s">
        <v>127</v>
      </c>
      <c r="AS16" s="31" t="s">
        <v>294</v>
      </c>
      <c r="AT16" s="32">
        <v>1.0</v>
      </c>
      <c r="AU16" s="31" t="s">
        <v>103</v>
      </c>
      <c r="AV16" s="31" t="s">
        <v>129</v>
      </c>
      <c r="AW16" s="38">
        <v>8.0</v>
      </c>
      <c r="AX16" s="31" t="s">
        <v>295</v>
      </c>
      <c r="AY16" s="31">
        <v>1.0</v>
      </c>
      <c r="AZ16" s="31">
        <v>84.0</v>
      </c>
      <c r="BA16" s="39">
        <v>542.0</v>
      </c>
      <c r="BB16" s="39">
        <v>7484.0</v>
      </c>
      <c r="BC16" s="38">
        <v>40.0</v>
      </c>
      <c r="BD16" s="39">
        <v>107.0</v>
      </c>
      <c r="BE16" s="39">
        <v>876.0</v>
      </c>
      <c r="BF16" s="31" t="s">
        <v>296</v>
      </c>
      <c r="BG16" s="38">
        <v>1.0</v>
      </c>
      <c r="BH16" s="33">
        <v>0.0</v>
      </c>
      <c r="BI16" s="31" t="s">
        <v>297</v>
      </c>
      <c r="BJ16" s="39">
        <v>945.0</v>
      </c>
      <c r="BK16" s="39">
        <v>414.75</v>
      </c>
      <c r="BL16" s="39">
        <v>414.75</v>
      </c>
      <c r="BM16" s="40">
        <v>1.0</v>
      </c>
      <c r="BN16" s="31" t="s">
        <v>298</v>
      </c>
      <c r="BO16" s="40">
        <v>1.0</v>
      </c>
      <c r="BP16" s="31" t="s">
        <v>299</v>
      </c>
      <c r="BQ16" s="41" t="s">
        <v>300</v>
      </c>
      <c r="BR16" s="42" t="s">
        <v>301</v>
      </c>
      <c r="BS16" s="42" t="s">
        <v>302</v>
      </c>
      <c r="BT16" s="43" t="s">
        <v>303</v>
      </c>
      <c r="BU16" s="42" t="s">
        <v>304</v>
      </c>
    </row>
    <row r="17" ht="6.0" customHeight="1">
      <c r="A17" s="58"/>
      <c r="B17" s="59"/>
      <c r="C17" s="59"/>
      <c r="D17" s="59"/>
      <c r="E17" s="59"/>
      <c r="F17" s="59"/>
      <c r="G17" s="59"/>
      <c r="H17" s="59"/>
      <c r="I17" s="59"/>
      <c r="J17" s="59"/>
      <c r="K17" s="60"/>
      <c r="L17" s="59"/>
      <c r="M17" s="59"/>
      <c r="N17" s="59"/>
      <c r="O17" s="59"/>
      <c r="P17" s="59"/>
      <c r="Q17" s="59"/>
      <c r="R17" s="60"/>
      <c r="S17" s="59"/>
      <c r="T17" s="59"/>
      <c r="U17" s="59"/>
      <c r="V17" s="59"/>
      <c r="W17" s="61"/>
      <c r="X17" s="59"/>
      <c r="Y17" s="59"/>
      <c r="Z17" s="59"/>
      <c r="AA17" s="59"/>
      <c r="AB17" s="59"/>
      <c r="AC17" s="59"/>
      <c r="AD17" s="59"/>
      <c r="AE17" s="59"/>
      <c r="AF17" s="60"/>
      <c r="AG17" s="59"/>
      <c r="AH17" s="59"/>
      <c r="AI17" s="59"/>
      <c r="AJ17" s="59"/>
      <c r="AK17" s="59"/>
      <c r="AL17" s="59"/>
      <c r="AM17" s="59"/>
      <c r="AN17" s="59"/>
      <c r="AO17" s="59"/>
      <c r="AP17" s="59"/>
      <c r="AQ17" s="59"/>
      <c r="AR17" s="59"/>
      <c r="AS17" s="59"/>
      <c r="AT17" s="60"/>
      <c r="AU17" s="59"/>
      <c r="AV17" s="59"/>
      <c r="AW17" s="62"/>
      <c r="AX17" s="59"/>
      <c r="AY17" s="59"/>
      <c r="AZ17" s="59"/>
      <c r="BA17" s="59"/>
      <c r="BB17" s="59"/>
      <c r="BC17" s="62"/>
      <c r="BD17" s="59"/>
      <c r="BE17" s="59"/>
      <c r="BF17" s="59"/>
      <c r="BG17" s="62"/>
      <c r="BH17" s="59"/>
      <c r="BI17" s="59"/>
      <c r="BJ17" s="59"/>
      <c r="BK17" s="59"/>
      <c r="BL17" s="59"/>
      <c r="BM17" s="62"/>
      <c r="BN17" s="59"/>
      <c r="BO17" s="62"/>
      <c r="BP17" s="59"/>
      <c r="BQ17" s="63"/>
      <c r="BR17" s="64"/>
      <c r="BS17" s="64"/>
      <c r="BT17" s="65"/>
      <c r="BU17" s="64"/>
    </row>
    <row r="18" ht="36.0" customHeight="1">
      <c r="A18" s="30" t="s">
        <v>305</v>
      </c>
      <c r="B18" s="31" t="s">
        <v>306</v>
      </c>
      <c r="C18" s="31" t="s">
        <v>84</v>
      </c>
      <c r="D18" s="31" t="s">
        <v>85</v>
      </c>
      <c r="E18" s="31" t="s">
        <v>307</v>
      </c>
      <c r="F18" s="31" t="s">
        <v>308</v>
      </c>
      <c r="G18" s="31" t="s">
        <v>309</v>
      </c>
      <c r="H18" s="31">
        <v>3.0</v>
      </c>
      <c r="I18" s="31" t="s">
        <v>261</v>
      </c>
      <c r="J18" s="31" t="s">
        <v>310</v>
      </c>
      <c r="K18" s="32">
        <v>1.0</v>
      </c>
      <c r="L18" s="31" t="s">
        <v>214</v>
      </c>
      <c r="M18" s="33">
        <v>2.0</v>
      </c>
      <c r="N18" s="34">
        <v>1.0</v>
      </c>
      <c r="O18" s="34">
        <v>1.0</v>
      </c>
      <c r="P18" s="34">
        <v>0.0</v>
      </c>
      <c r="Q18" s="34">
        <v>1.0</v>
      </c>
      <c r="R18" s="35">
        <v>0.0</v>
      </c>
      <c r="S18" s="34" t="s">
        <v>91</v>
      </c>
      <c r="T18" s="34" t="s">
        <v>91</v>
      </c>
      <c r="U18" s="34">
        <v>53820.0</v>
      </c>
      <c r="V18" s="34">
        <v>22.0</v>
      </c>
      <c r="W18" s="34" t="s">
        <v>311</v>
      </c>
      <c r="X18" s="34">
        <v>5.0</v>
      </c>
      <c r="Y18" s="34" t="s">
        <v>312</v>
      </c>
      <c r="Z18" s="34" t="s">
        <v>122</v>
      </c>
      <c r="AA18" s="34">
        <v>88.0</v>
      </c>
      <c r="AB18" s="34">
        <v>0.0</v>
      </c>
      <c r="AC18" s="34">
        <v>21.0</v>
      </c>
      <c r="AD18" s="34">
        <f>SUM(AA20,AB20,AC20)</f>
        <v>0</v>
      </c>
      <c r="AE18" s="34">
        <v>0.0</v>
      </c>
      <c r="AF18" s="36" t="str">
        <f>IFERROR(U18/AD18,"")</f>
        <v/>
      </c>
      <c r="AG18" s="31" t="s">
        <v>313</v>
      </c>
      <c r="AH18" s="34">
        <v>1.0</v>
      </c>
      <c r="AI18" s="34">
        <v>1.0</v>
      </c>
      <c r="AJ18" s="34" t="s">
        <v>96</v>
      </c>
      <c r="AK18" s="34" t="s">
        <v>314</v>
      </c>
      <c r="AL18" s="31" t="s">
        <v>176</v>
      </c>
      <c r="AM18" s="31">
        <v>0.0</v>
      </c>
      <c r="AN18" s="31" t="s">
        <v>215</v>
      </c>
      <c r="AO18" s="31" t="s">
        <v>315</v>
      </c>
      <c r="AP18" s="31">
        <v>3.0</v>
      </c>
      <c r="AQ18" s="37" t="str">
        <f>IFERROR(AN18/(U18/10000),"")</f>
        <v/>
      </c>
      <c r="AR18" s="31" t="s">
        <v>100</v>
      </c>
      <c r="AS18" s="31" t="s">
        <v>316</v>
      </c>
      <c r="AT18" s="32">
        <v>3.0</v>
      </c>
      <c r="AU18" s="31" t="s">
        <v>102</v>
      </c>
      <c r="AV18" s="31" t="s">
        <v>103</v>
      </c>
      <c r="AW18" s="38">
        <v>11.0</v>
      </c>
      <c r="AX18" s="31" t="s">
        <v>317</v>
      </c>
      <c r="AY18" s="31">
        <v>1.0</v>
      </c>
      <c r="AZ18" s="31">
        <v>5.0</v>
      </c>
      <c r="BA18" s="39">
        <v>338.0</v>
      </c>
      <c r="BB18" s="39">
        <v>2823.0</v>
      </c>
      <c r="BC18" s="38">
        <v>80.0</v>
      </c>
      <c r="BD18" s="39">
        <v>60.0</v>
      </c>
      <c r="BE18" s="39">
        <v>665.0</v>
      </c>
      <c r="BF18" s="31" t="s">
        <v>318</v>
      </c>
      <c r="BG18" s="38">
        <v>0.0</v>
      </c>
      <c r="BH18" s="33">
        <v>0.0</v>
      </c>
      <c r="BI18" s="31" t="s">
        <v>319</v>
      </c>
      <c r="BJ18" s="39" t="s">
        <v>83</v>
      </c>
      <c r="BK18" s="39" t="s">
        <v>83</v>
      </c>
      <c r="BL18" s="39" t="s">
        <v>83</v>
      </c>
      <c r="BM18" s="40">
        <v>1.0</v>
      </c>
      <c r="BN18" s="31" t="s">
        <v>320</v>
      </c>
      <c r="BO18" s="40">
        <v>1.0</v>
      </c>
      <c r="BP18" s="31" t="s">
        <v>321</v>
      </c>
      <c r="BQ18" s="41" t="s">
        <v>322</v>
      </c>
      <c r="BR18" s="42" t="s">
        <v>323</v>
      </c>
      <c r="BS18" s="42" t="s">
        <v>324</v>
      </c>
      <c r="BT18" s="43" t="s">
        <v>325</v>
      </c>
      <c r="BU18" s="42" t="s">
        <v>326</v>
      </c>
    </row>
    <row r="19" ht="19.5" customHeight="1">
      <c r="A19" s="27" t="s">
        <v>327</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9"/>
    </row>
    <row r="20" ht="36.0" customHeight="1">
      <c r="A20" s="30" t="s">
        <v>328</v>
      </c>
      <c r="B20" s="31" t="s">
        <v>329</v>
      </c>
      <c r="C20" s="31" t="s">
        <v>330</v>
      </c>
      <c r="D20" s="31" t="s">
        <v>85</v>
      </c>
      <c r="E20" s="31" t="s">
        <v>331</v>
      </c>
      <c r="F20" s="31" t="s">
        <v>332</v>
      </c>
      <c r="G20" s="31" t="s">
        <v>333</v>
      </c>
      <c r="H20" s="31">
        <v>2.0</v>
      </c>
      <c r="I20" s="31" t="s">
        <v>334</v>
      </c>
      <c r="J20" s="31" t="s">
        <v>335</v>
      </c>
      <c r="K20" s="32">
        <v>0.0</v>
      </c>
      <c r="L20" s="31" t="s">
        <v>336</v>
      </c>
      <c r="M20" s="33">
        <v>3.0</v>
      </c>
      <c r="N20" s="34">
        <v>0.0</v>
      </c>
      <c r="O20" s="34">
        <v>0.0</v>
      </c>
      <c r="P20" s="34">
        <v>1.0</v>
      </c>
      <c r="Q20" s="34">
        <v>1.0</v>
      </c>
      <c r="R20" s="35">
        <v>1.0</v>
      </c>
      <c r="S20" s="34">
        <v>178699.0</v>
      </c>
      <c r="T20" s="34">
        <v>10000.0</v>
      </c>
      <c r="U20" s="34">
        <v>10000.0</v>
      </c>
      <c r="V20" s="34">
        <v>15.0</v>
      </c>
      <c r="W20" s="34" t="s">
        <v>337</v>
      </c>
      <c r="X20" s="34">
        <v>15.0</v>
      </c>
      <c r="Y20" s="34" t="s">
        <v>338</v>
      </c>
      <c r="Z20" s="34" t="s">
        <v>339</v>
      </c>
      <c r="AA20" s="34">
        <v>0.0</v>
      </c>
      <c r="AB20" s="34">
        <v>0.0</v>
      </c>
      <c r="AC20" s="34">
        <v>0.0</v>
      </c>
      <c r="AD20" s="34">
        <f t="shared" ref="AD20:AD22" si="13">SUM(AA26,AB26,AC26)</f>
        <v>726</v>
      </c>
      <c r="AE20" s="34">
        <v>0.0</v>
      </c>
      <c r="AF20" s="36">
        <f t="shared" ref="AF20:AF22" si="14">IFERROR(U20/AD20,"")</f>
        <v>13.77410468</v>
      </c>
      <c r="AG20" s="31" t="s">
        <v>340</v>
      </c>
      <c r="AH20" s="34">
        <v>0.0</v>
      </c>
      <c r="AI20" s="34">
        <v>0.0</v>
      </c>
      <c r="AJ20" s="34"/>
      <c r="AK20" s="34" t="s">
        <v>341</v>
      </c>
      <c r="AL20" s="31" t="s">
        <v>98</v>
      </c>
      <c r="AM20" s="31">
        <v>1.0</v>
      </c>
      <c r="AN20" s="31">
        <v>15.0</v>
      </c>
      <c r="AO20" s="31" t="s">
        <v>342</v>
      </c>
      <c r="AP20" s="31">
        <v>0.0</v>
      </c>
      <c r="AQ20" s="37">
        <f t="shared" ref="AQ20:AQ22" si="15">IFERROR(AN20/(U20/10000),"")</f>
        <v>15</v>
      </c>
      <c r="AR20" s="31" t="s">
        <v>343</v>
      </c>
      <c r="AS20" s="31" t="s">
        <v>344</v>
      </c>
      <c r="AT20" s="32">
        <v>1.0</v>
      </c>
      <c r="AU20" s="31" t="s">
        <v>129</v>
      </c>
      <c r="AV20" s="31" t="s">
        <v>103</v>
      </c>
      <c r="AW20" s="38">
        <v>3.0</v>
      </c>
      <c r="AX20" s="31" t="s">
        <v>345</v>
      </c>
      <c r="AY20" s="31">
        <v>1.0</v>
      </c>
      <c r="AZ20" s="31">
        <v>365.0</v>
      </c>
      <c r="BA20" s="39">
        <v>99.0</v>
      </c>
      <c r="BB20" s="39">
        <v>15995.0</v>
      </c>
      <c r="BC20" s="38">
        <v>50.0</v>
      </c>
      <c r="BD20" s="39">
        <v>49.0</v>
      </c>
      <c r="BE20" s="39">
        <v>14500.0</v>
      </c>
      <c r="BF20" s="31" t="s">
        <v>346</v>
      </c>
      <c r="BG20" s="38">
        <v>6.0</v>
      </c>
      <c r="BH20" s="33">
        <v>0.0</v>
      </c>
      <c r="BI20" s="31" t="s">
        <v>347</v>
      </c>
      <c r="BJ20" s="39" t="s">
        <v>348</v>
      </c>
      <c r="BK20" s="39">
        <v>99.0</v>
      </c>
      <c r="BL20" s="39">
        <v>8333.0</v>
      </c>
      <c r="BM20" s="40">
        <v>1.0</v>
      </c>
      <c r="BN20" s="31" t="s">
        <v>349</v>
      </c>
      <c r="BO20" s="40">
        <v>0.0</v>
      </c>
      <c r="BP20" s="31" t="s">
        <v>350</v>
      </c>
      <c r="BQ20" s="41" t="s">
        <v>351</v>
      </c>
      <c r="BR20" s="42" t="s">
        <v>352</v>
      </c>
      <c r="BS20" s="42" t="s">
        <v>353</v>
      </c>
      <c r="BT20" s="43" t="s">
        <v>354</v>
      </c>
      <c r="BU20" s="42" t="s">
        <v>355</v>
      </c>
    </row>
    <row r="21" ht="36.0" customHeight="1">
      <c r="A21" s="44" t="s">
        <v>356</v>
      </c>
      <c r="B21" s="45" t="s">
        <v>357</v>
      </c>
      <c r="C21" s="45" t="s">
        <v>330</v>
      </c>
      <c r="D21" s="45" t="s">
        <v>358</v>
      </c>
      <c r="E21" s="45" t="s">
        <v>359</v>
      </c>
      <c r="F21" s="45" t="s">
        <v>332</v>
      </c>
      <c r="G21" s="45" t="s">
        <v>360</v>
      </c>
      <c r="H21" s="45">
        <v>3.0</v>
      </c>
      <c r="I21" s="45" t="s">
        <v>361</v>
      </c>
      <c r="J21" s="45" t="s">
        <v>362</v>
      </c>
      <c r="K21" s="46">
        <v>0.0</v>
      </c>
      <c r="L21" s="45" t="s">
        <v>336</v>
      </c>
      <c r="M21" s="47">
        <v>3.0</v>
      </c>
      <c r="N21" s="48">
        <v>0.0</v>
      </c>
      <c r="O21" s="48">
        <v>0.0</v>
      </c>
      <c r="P21" s="48">
        <v>1.0</v>
      </c>
      <c r="Q21" s="48">
        <v>1.0</v>
      </c>
      <c r="R21" s="49">
        <v>1.0</v>
      </c>
      <c r="S21" s="48" t="s">
        <v>91</v>
      </c>
      <c r="T21" s="48" t="s">
        <v>91</v>
      </c>
      <c r="U21" s="48" t="s">
        <v>363</v>
      </c>
      <c r="V21" s="48">
        <v>15.0</v>
      </c>
      <c r="W21" s="48" t="s">
        <v>364</v>
      </c>
      <c r="X21" s="48">
        <v>18.0</v>
      </c>
      <c r="Y21" s="48" t="s">
        <v>365</v>
      </c>
      <c r="Z21" s="48" t="s">
        <v>366</v>
      </c>
      <c r="AA21" s="48">
        <v>0.0</v>
      </c>
      <c r="AB21" s="48">
        <v>0.0</v>
      </c>
      <c r="AC21" s="48">
        <v>0.0</v>
      </c>
      <c r="AD21" s="48">
        <f t="shared" si="13"/>
        <v>0</v>
      </c>
      <c r="AE21" s="48">
        <v>400.0</v>
      </c>
      <c r="AF21" s="50" t="str">
        <f t="shared" si="14"/>
        <v/>
      </c>
      <c r="AG21" s="45" t="s">
        <v>340</v>
      </c>
      <c r="AH21" s="48">
        <v>0.0</v>
      </c>
      <c r="AI21" s="48">
        <v>0.0</v>
      </c>
      <c r="AJ21" s="48"/>
      <c r="AK21" s="48" t="s">
        <v>367</v>
      </c>
      <c r="AL21" s="45" t="s">
        <v>98</v>
      </c>
      <c r="AM21" s="45">
        <v>2.0</v>
      </c>
      <c r="AN21" s="45">
        <v>15.0</v>
      </c>
      <c r="AO21" s="45" t="s">
        <v>368</v>
      </c>
      <c r="AP21" s="45" t="s">
        <v>369</v>
      </c>
      <c r="AQ21" s="51" t="str">
        <f t="shared" si="15"/>
        <v/>
      </c>
      <c r="AR21" s="45" t="s">
        <v>343</v>
      </c>
      <c r="AS21" s="45" t="s">
        <v>370</v>
      </c>
      <c r="AT21" s="46">
        <v>1.0</v>
      </c>
      <c r="AU21" s="45" t="s">
        <v>129</v>
      </c>
      <c r="AV21" s="45" t="s">
        <v>103</v>
      </c>
      <c r="AW21" s="52">
        <v>3.0</v>
      </c>
      <c r="AX21" s="45" t="s">
        <v>371</v>
      </c>
      <c r="AY21" s="45">
        <v>1.0</v>
      </c>
      <c r="AZ21" s="45">
        <v>365.0</v>
      </c>
      <c r="BA21" s="53">
        <v>545.0</v>
      </c>
      <c r="BB21" s="53">
        <v>17700.0</v>
      </c>
      <c r="BC21" s="52">
        <v>50.0</v>
      </c>
      <c r="BD21" s="53">
        <v>109.0</v>
      </c>
      <c r="BE21" s="53" t="s">
        <v>91</v>
      </c>
      <c r="BF21" s="45" t="s">
        <v>372</v>
      </c>
      <c r="BG21" s="52">
        <v>5.0</v>
      </c>
      <c r="BH21" s="47">
        <v>0.0</v>
      </c>
      <c r="BI21" s="45" t="s">
        <v>373</v>
      </c>
      <c r="BJ21" s="53" t="s">
        <v>374</v>
      </c>
      <c r="BK21" s="53">
        <v>545.0</v>
      </c>
      <c r="BL21" s="53">
        <v>1361.0</v>
      </c>
      <c r="BM21" s="54">
        <v>0.0</v>
      </c>
      <c r="BN21" s="45" t="s">
        <v>375</v>
      </c>
      <c r="BO21" s="54">
        <v>0.0</v>
      </c>
      <c r="BP21" s="45" t="s">
        <v>376</v>
      </c>
      <c r="BQ21" s="55" t="s">
        <v>377</v>
      </c>
      <c r="BR21" s="56" t="s">
        <v>378</v>
      </c>
      <c r="BS21" s="56" t="s">
        <v>379</v>
      </c>
      <c r="BT21" s="57" t="s">
        <v>380</v>
      </c>
      <c r="BU21" s="56" t="s">
        <v>381</v>
      </c>
    </row>
    <row r="22" ht="36.0" customHeight="1">
      <c r="A22" s="44" t="s">
        <v>382</v>
      </c>
      <c r="B22" s="45" t="s">
        <v>383</v>
      </c>
      <c r="C22" s="45" t="s">
        <v>115</v>
      </c>
      <c r="D22" s="45" t="s">
        <v>85</v>
      </c>
      <c r="E22" s="45" t="s">
        <v>384</v>
      </c>
      <c r="F22" s="45" t="s">
        <v>332</v>
      </c>
      <c r="G22" s="45" t="s">
        <v>309</v>
      </c>
      <c r="H22" s="45">
        <v>3.0</v>
      </c>
      <c r="I22" s="45" t="s">
        <v>385</v>
      </c>
      <c r="J22" s="45" t="s">
        <v>386</v>
      </c>
      <c r="K22" s="46">
        <v>1.0</v>
      </c>
      <c r="L22" s="45" t="s">
        <v>387</v>
      </c>
      <c r="M22" s="47">
        <v>2.0</v>
      </c>
      <c r="N22" s="48">
        <v>0.0</v>
      </c>
      <c r="O22" s="48">
        <v>1.0</v>
      </c>
      <c r="P22" s="48">
        <v>1.0</v>
      </c>
      <c r="Q22" s="48">
        <v>1.0</v>
      </c>
      <c r="R22" s="49">
        <v>0.0</v>
      </c>
      <c r="S22" s="48">
        <v>653400.0</v>
      </c>
      <c r="T22" s="48">
        <v>635976.0</v>
      </c>
      <c r="U22" s="48">
        <v>840.0</v>
      </c>
      <c r="V22" s="48">
        <v>1.0</v>
      </c>
      <c r="W22" s="48" t="s">
        <v>388</v>
      </c>
      <c r="X22" s="48">
        <v>4.0</v>
      </c>
      <c r="Y22" s="48" t="s">
        <v>389</v>
      </c>
      <c r="Z22" s="48" t="s">
        <v>122</v>
      </c>
      <c r="AA22" s="48">
        <v>0.0</v>
      </c>
      <c r="AB22" s="48">
        <v>380.0</v>
      </c>
      <c r="AC22" s="48">
        <v>0.0</v>
      </c>
      <c r="AD22" s="48">
        <f t="shared" si="13"/>
        <v>0</v>
      </c>
      <c r="AE22" s="48">
        <v>0.0</v>
      </c>
      <c r="AF22" s="50" t="str">
        <f t="shared" si="14"/>
        <v/>
      </c>
      <c r="AG22" s="45" t="s">
        <v>123</v>
      </c>
      <c r="AH22" s="48">
        <v>0.0</v>
      </c>
      <c r="AI22" s="48">
        <v>0.0</v>
      </c>
      <c r="AJ22" s="48"/>
      <c r="AK22" s="48" t="s">
        <v>390</v>
      </c>
      <c r="AL22" s="45" t="s">
        <v>176</v>
      </c>
      <c r="AM22" s="45">
        <v>1.0</v>
      </c>
      <c r="AN22" s="45">
        <v>4.0</v>
      </c>
      <c r="AO22" s="45" t="s">
        <v>391</v>
      </c>
      <c r="AP22" s="45">
        <v>2.0</v>
      </c>
      <c r="AQ22" s="51">
        <f t="shared" si="15"/>
        <v>47.61904762</v>
      </c>
      <c r="AR22" s="45" t="s">
        <v>127</v>
      </c>
      <c r="AS22" s="45" t="s">
        <v>392</v>
      </c>
      <c r="AT22" s="46">
        <v>1.0</v>
      </c>
      <c r="AU22" s="45" t="s">
        <v>103</v>
      </c>
      <c r="AV22" s="45" t="s">
        <v>129</v>
      </c>
      <c r="AW22" s="52">
        <v>0.0</v>
      </c>
      <c r="AX22" s="45" t="s">
        <v>393</v>
      </c>
      <c r="AY22" s="45">
        <v>1.0</v>
      </c>
      <c r="AZ22" s="45">
        <v>1.0</v>
      </c>
      <c r="BA22" s="53" t="s">
        <v>394</v>
      </c>
      <c r="BB22" s="53" t="s">
        <v>395</v>
      </c>
      <c r="BC22" s="52">
        <v>34.0</v>
      </c>
      <c r="BD22" s="53">
        <v>59.0</v>
      </c>
      <c r="BE22" s="53">
        <v>10000.0</v>
      </c>
      <c r="BF22" s="45" t="s">
        <v>396</v>
      </c>
      <c r="BG22" s="52">
        <v>6.0</v>
      </c>
      <c r="BH22" s="47">
        <v>0.0</v>
      </c>
      <c r="BI22" s="45" t="s">
        <v>397</v>
      </c>
      <c r="BJ22" s="53" t="s">
        <v>398</v>
      </c>
      <c r="BK22" s="53">
        <v>99.0</v>
      </c>
      <c r="BL22" s="53">
        <v>8333.0</v>
      </c>
      <c r="BM22" s="54">
        <v>0.0</v>
      </c>
      <c r="BN22" s="45" t="s">
        <v>399</v>
      </c>
      <c r="BO22" s="54">
        <v>0.0</v>
      </c>
      <c r="BP22" s="45" t="s">
        <v>400</v>
      </c>
      <c r="BQ22" s="55" t="s">
        <v>401</v>
      </c>
      <c r="BR22" s="56" t="s">
        <v>402</v>
      </c>
      <c r="BS22" s="56" t="s">
        <v>403</v>
      </c>
      <c r="BT22" s="57" t="s">
        <v>404</v>
      </c>
      <c r="BU22" s="56" t="s">
        <v>405</v>
      </c>
    </row>
    <row r="23" ht="19.5" customHeight="1">
      <c r="A23" s="27" t="s">
        <v>406</v>
      </c>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9"/>
    </row>
    <row r="24" ht="36.0" customHeight="1">
      <c r="A24" s="30" t="s">
        <v>407</v>
      </c>
      <c r="B24" s="31" t="s">
        <v>408</v>
      </c>
      <c r="C24" s="31" t="s">
        <v>115</v>
      </c>
      <c r="D24" s="31" t="s">
        <v>85</v>
      </c>
      <c r="E24" s="31" t="s">
        <v>409</v>
      </c>
      <c r="F24" s="31" t="s">
        <v>283</v>
      </c>
      <c r="G24" s="31" t="s">
        <v>410</v>
      </c>
      <c r="H24" s="31">
        <v>5.0</v>
      </c>
      <c r="I24" s="31" t="s">
        <v>284</v>
      </c>
      <c r="J24" s="31" t="s">
        <v>411</v>
      </c>
      <c r="K24" s="32">
        <v>1.0</v>
      </c>
      <c r="L24" s="31" t="s">
        <v>412</v>
      </c>
      <c r="M24" s="33">
        <v>1.0</v>
      </c>
      <c r="N24" s="34">
        <v>1.0</v>
      </c>
      <c r="O24" s="34">
        <v>1.0</v>
      </c>
      <c r="P24" s="34">
        <v>1.0</v>
      </c>
      <c r="Q24" s="34">
        <v>1.0</v>
      </c>
      <c r="R24" s="35">
        <v>1.0</v>
      </c>
      <c r="S24" s="34" t="s">
        <v>91</v>
      </c>
      <c r="T24" s="34">
        <v>760000.0</v>
      </c>
      <c r="U24" s="34">
        <v>27000.0</v>
      </c>
      <c r="V24" s="34">
        <v>5.0</v>
      </c>
      <c r="W24" s="34" t="s">
        <v>413</v>
      </c>
      <c r="X24" s="34">
        <v>12.0</v>
      </c>
      <c r="Y24" s="34" t="s">
        <v>414</v>
      </c>
      <c r="Z24" s="34" t="s">
        <v>122</v>
      </c>
      <c r="AA24" s="34">
        <v>0.0</v>
      </c>
      <c r="AB24" s="34">
        <v>120.0</v>
      </c>
      <c r="AC24" s="34">
        <v>85.0</v>
      </c>
      <c r="AD24" s="34">
        <f>SUM(AA22,AB22,AC22)</f>
        <v>380</v>
      </c>
      <c r="AE24" s="34">
        <v>0.0</v>
      </c>
      <c r="AF24" s="36">
        <f>IFERROR(U24/AD24,"")</f>
        <v>71.05263158</v>
      </c>
      <c r="AG24" s="31" t="s">
        <v>415</v>
      </c>
      <c r="AH24" s="34">
        <v>1.0</v>
      </c>
      <c r="AI24" s="34">
        <v>0.0</v>
      </c>
      <c r="AJ24" s="34" t="s">
        <v>174</v>
      </c>
      <c r="AK24" s="34" t="s">
        <v>416</v>
      </c>
      <c r="AL24" s="31" t="s">
        <v>292</v>
      </c>
      <c r="AM24" s="31">
        <v>0.0</v>
      </c>
      <c r="AN24" s="31">
        <v>10.0</v>
      </c>
      <c r="AO24" s="31" t="s">
        <v>417</v>
      </c>
      <c r="AP24" s="31">
        <v>0.0</v>
      </c>
      <c r="AQ24" s="37">
        <f>IFERROR(AN24/(U24/10000),"")</f>
        <v>3.703703704</v>
      </c>
      <c r="AR24" s="31" t="s">
        <v>127</v>
      </c>
      <c r="AS24" s="31" t="s">
        <v>418</v>
      </c>
      <c r="AT24" s="32">
        <v>1.0</v>
      </c>
      <c r="AU24" s="31" t="s">
        <v>103</v>
      </c>
      <c r="AV24" s="31" t="s">
        <v>129</v>
      </c>
      <c r="AW24" s="38">
        <v>1.0</v>
      </c>
      <c r="AX24" s="31" t="s">
        <v>419</v>
      </c>
      <c r="AY24" s="31">
        <v>84.0</v>
      </c>
      <c r="AZ24" s="31">
        <v>84.0</v>
      </c>
      <c r="BA24" s="39">
        <v>20150.0</v>
      </c>
      <c r="BB24" s="39">
        <v>20150.0</v>
      </c>
      <c r="BC24" s="38">
        <v>18.0</v>
      </c>
      <c r="BD24" s="39" t="s">
        <v>91</v>
      </c>
      <c r="BE24" s="39" t="s">
        <v>91</v>
      </c>
      <c r="BF24" s="31" t="s">
        <v>420</v>
      </c>
      <c r="BG24" s="38">
        <v>3.0</v>
      </c>
      <c r="BH24" s="33">
        <v>1.0</v>
      </c>
      <c r="BI24" s="31" t="s">
        <v>421</v>
      </c>
      <c r="BJ24" s="39">
        <v>2600.0</v>
      </c>
      <c r="BK24" s="39">
        <v>669.0</v>
      </c>
      <c r="BL24" s="39">
        <v>2678.0</v>
      </c>
      <c r="BM24" s="40">
        <v>0.0</v>
      </c>
      <c r="BN24" s="31" t="s">
        <v>422</v>
      </c>
      <c r="BO24" s="40">
        <v>1.0</v>
      </c>
      <c r="BP24" s="31" t="s">
        <v>423</v>
      </c>
      <c r="BQ24" s="41" t="s">
        <v>424</v>
      </c>
      <c r="BR24" s="42" t="s">
        <v>425</v>
      </c>
      <c r="BS24" s="42" t="s">
        <v>426</v>
      </c>
      <c r="BT24" s="43" t="s">
        <v>427</v>
      </c>
      <c r="BU24" s="42" t="s">
        <v>428</v>
      </c>
    </row>
    <row r="25" ht="36.0" customHeight="1">
      <c r="A25" s="44" t="s">
        <v>429</v>
      </c>
      <c r="B25" s="45" t="s">
        <v>430</v>
      </c>
      <c r="C25" s="45" t="s">
        <v>115</v>
      </c>
      <c r="D25" s="45" t="s">
        <v>85</v>
      </c>
      <c r="E25" s="45" t="s">
        <v>431</v>
      </c>
      <c r="F25" s="45" t="s">
        <v>87</v>
      </c>
      <c r="G25" s="45" t="s">
        <v>143</v>
      </c>
      <c r="H25" s="45">
        <v>5.0</v>
      </c>
      <c r="I25" s="45" t="s">
        <v>284</v>
      </c>
      <c r="J25" s="45" t="s">
        <v>432</v>
      </c>
      <c r="K25" s="46">
        <v>1.0</v>
      </c>
      <c r="L25" s="45" t="s">
        <v>433</v>
      </c>
      <c r="M25" s="47">
        <v>3.0</v>
      </c>
      <c r="N25" s="48">
        <v>1.0</v>
      </c>
      <c r="O25" s="48">
        <v>1.0</v>
      </c>
      <c r="P25" s="48">
        <v>0.0</v>
      </c>
      <c r="Q25" s="48">
        <v>1.0</v>
      </c>
      <c r="R25" s="49">
        <v>1.0</v>
      </c>
      <c r="S25" s="48">
        <v>1864412.0</v>
      </c>
      <c r="T25" s="48">
        <v>4370578.0</v>
      </c>
      <c r="U25" s="48">
        <v>6800.0</v>
      </c>
      <c r="V25" s="48" t="s">
        <v>434</v>
      </c>
      <c r="W25" s="48" t="s">
        <v>435</v>
      </c>
      <c r="X25" s="48">
        <v>22.0</v>
      </c>
      <c r="Y25" s="48" t="s">
        <v>436</v>
      </c>
      <c r="Z25" s="48" t="s">
        <v>122</v>
      </c>
      <c r="AA25" s="48">
        <v>0.0</v>
      </c>
      <c r="AB25" s="48">
        <v>795.0</v>
      </c>
      <c r="AC25" s="48">
        <v>231.0</v>
      </c>
      <c r="AD25" s="48">
        <f>SUM(AA24,AB24,AC24)</f>
        <v>205</v>
      </c>
      <c r="AE25" s="48">
        <v>0.0</v>
      </c>
      <c r="AF25" s="50">
        <f>U24/AD24</f>
        <v>71.05263158</v>
      </c>
      <c r="AG25" s="45" t="s">
        <v>173</v>
      </c>
      <c r="AH25" s="48">
        <v>0.0</v>
      </c>
      <c r="AI25" s="48">
        <v>0.0</v>
      </c>
      <c r="AJ25" s="48" t="s">
        <v>174</v>
      </c>
      <c r="AK25" s="48" t="s">
        <v>437</v>
      </c>
      <c r="AL25" s="45" t="s">
        <v>98</v>
      </c>
      <c r="AM25" s="45">
        <v>15.0</v>
      </c>
      <c r="AN25" s="45">
        <v>18.0</v>
      </c>
      <c r="AO25" s="45" t="s">
        <v>438</v>
      </c>
      <c r="AP25" s="45">
        <v>0.0</v>
      </c>
      <c r="AQ25" s="51">
        <f>(AN24/U24)*10000</f>
        <v>3.703703704</v>
      </c>
      <c r="AR25" s="45" t="s">
        <v>127</v>
      </c>
      <c r="AS25" s="45" t="s">
        <v>439</v>
      </c>
      <c r="AT25" s="46">
        <v>2.0</v>
      </c>
      <c r="AU25" s="45" t="s">
        <v>103</v>
      </c>
      <c r="AV25" s="45" t="s">
        <v>440</v>
      </c>
      <c r="AW25" s="52">
        <v>3.0</v>
      </c>
      <c r="AX25" s="45" t="s">
        <v>441</v>
      </c>
      <c r="AY25" s="45">
        <v>2.0</v>
      </c>
      <c r="AZ25" s="45">
        <v>7.0</v>
      </c>
      <c r="BA25" s="53">
        <v>270.0</v>
      </c>
      <c r="BB25" s="53">
        <v>46000.0</v>
      </c>
      <c r="BC25" s="52">
        <v>65.0</v>
      </c>
      <c r="BD25" s="53">
        <v>286.0</v>
      </c>
      <c r="BE25" s="53">
        <v>46300.0</v>
      </c>
      <c r="BF25" s="45" t="s">
        <v>442</v>
      </c>
      <c r="BG25" s="52">
        <v>0.0</v>
      </c>
      <c r="BH25" s="47">
        <v>0.0</v>
      </c>
      <c r="BI25" s="45" t="s">
        <v>443</v>
      </c>
      <c r="BJ25" s="53" t="s">
        <v>83</v>
      </c>
      <c r="BK25" s="53" t="s">
        <v>83</v>
      </c>
      <c r="BL25" s="53" t="s">
        <v>83</v>
      </c>
      <c r="BM25" s="54">
        <v>0.0</v>
      </c>
      <c r="BN25" s="45" t="s">
        <v>444</v>
      </c>
      <c r="BO25" s="54">
        <v>1.0</v>
      </c>
      <c r="BP25" s="45" t="s">
        <v>445</v>
      </c>
      <c r="BQ25" s="55" t="s">
        <v>446</v>
      </c>
      <c r="BR25" s="56" t="s">
        <v>447</v>
      </c>
      <c r="BS25" s="56" t="s">
        <v>448</v>
      </c>
      <c r="BT25" s="57" t="s">
        <v>449</v>
      </c>
      <c r="BU25" s="56" t="s">
        <v>450</v>
      </c>
    </row>
    <row r="26" ht="36.0" customHeight="1">
      <c r="A26" s="30" t="s">
        <v>451</v>
      </c>
      <c r="B26" s="31" t="s">
        <v>452</v>
      </c>
      <c r="C26" s="31" t="s">
        <v>115</v>
      </c>
      <c r="D26" s="31" t="s">
        <v>85</v>
      </c>
      <c r="E26" s="31" t="s">
        <v>359</v>
      </c>
      <c r="F26" s="31" t="s">
        <v>453</v>
      </c>
      <c r="G26" s="31" t="s">
        <v>309</v>
      </c>
      <c r="H26" s="31">
        <v>3.0</v>
      </c>
      <c r="I26" s="31" t="s">
        <v>454</v>
      </c>
      <c r="J26" s="31" t="s">
        <v>455</v>
      </c>
      <c r="K26" s="32">
        <v>0.0</v>
      </c>
      <c r="L26" s="31" t="s">
        <v>456</v>
      </c>
      <c r="M26" s="33">
        <v>2.0</v>
      </c>
      <c r="N26" s="34">
        <v>1.0</v>
      </c>
      <c r="O26" s="34">
        <v>1.0</v>
      </c>
      <c r="P26" s="34">
        <v>1.0</v>
      </c>
      <c r="Q26" s="34">
        <v>1.0</v>
      </c>
      <c r="R26" s="35">
        <v>1.0</v>
      </c>
      <c r="S26" s="34" t="s">
        <v>91</v>
      </c>
      <c r="T26" s="34">
        <v>887363.0</v>
      </c>
      <c r="U26" s="34">
        <v>26910.0</v>
      </c>
      <c r="V26" s="34">
        <v>10.0</v>
      </c>
      <c r="W26" s="34" t="s">
        <v>457</v>
      </c>
      <c r="X26" s="34">
        <v>26.0</v>
      </c>
      <c r="Y26" s="34" t="s">
        <v>458</v>
      </c>
      <c r="Z26" s="34" t="s">
        <v>459</v>
      </c>
      <c r="AA26" s="34">
        <v>0.0</v>
      </c>
      <c r="AB26" s="34">
        <v>196.0</v>
      </c>
      <c r="AC26" s="34">
        <v>530.0</v>
      </c>
      <c r="AD26" s="34">
        <f>SUM(AA31,AB31,AC31)</f>
        <v>0</v>
      </c>
      <c r="AE26" s="34">
        <v>0.0</v>
      </c>
      <c r="AF26" s="36" t="str">
        <f>IFERROR(U26/AD26,"")</f>
        <v/>
      </c>
      <c r="AG26" s="31" t="s">
        <v>173</v>
      </c>
      <c r="AH26" s="34">
        <v>1.0</v>
      </c>
      <c r="AI26" s="34">
        <v>1.0</v>
      </c>
      <c r="AJ26" s="34" t="s">
        <v>174</v>
      </c>
      <c r="AK26" s="34" t="s">
        <v>460</v>
      </c>
      <c r="AL26" s="31" t="s">
        <v>176</v>
      </c>
      <c r="AM26" s="31" t="s">
        <v>91</v>
      </c>
      <c r="AN26" s="31" t="s">
        <v>91</v>
      </c>
      <c r="AO26" s="31" t="s">
        <v>461</v>
      </c>
      <c r="AP26" s="31">
        <v>0.0</v>
      </c>
      <c r="AQ26" s="37" t="str">
        <f>IFERROR(AN26/(U26/10000),"")</f>
        <v/>
      </c>
      <c r="AR26" s="31" t="s">
        <v>127</v>
      </c>
      <c r="AS26" s="31" t="s">
        <v>462</v>
      </c>
      <c r="AT26" s="32">
        <v>1.0</v>
      </c>
      <c r="AU26" s="31" t="s">
        <v>102</v>
      </c>
      <c r="AV26" s="31" t="s">
        <v>103</v>
      </c>
      <c r="AW26" s="38">
        <v>5.0</v>
      </c>
      <c r="AX26" s="31" t="s">
        <v>463</v>
      </c>
      <c r="AY26" s="31">
        <v>1.0</v>
      </c>
      <c r="AZ26" s="31">
        <v>7.0</v>
      </c>
      <c r="BA26" s="39">
        <v>885.0</v>
      </c>
      <c r="BB26" s="39">
        <v>1175.0</v>
      </c>
      <c r="BC26" s="38">
        <v>40.0</v>
      </c>
      <c r="BD26" s="39">
        <v>25.0</v>
      </c>
      <c r="BE26" s="39">
        <v>2724.0</v>
      </c>
      <c r="BF26" s="31" t="s">
        <v>464</v>
      </c>
      <c r="BG26" s="38">
        <v>1.0</v>
      </c>
      <c r="BH26" s="33">
        <v>0.0</v>
      </c>
      <c r="BI26" s="31" t="s">
        <v>465</v>
      </c>
      <c r="BJ26" s="39" t="s">
        <v>91</v>
      </c>
      <c r="BK26" s="39" t="s">
        <v>91</v>
      </c>
      <c r="BL26" s="39" t="s">
        <v>91</v>
      </c>
      <c r="BM26" s="40">
        <v>1.0</v>
      </c>
      <c r="BN26" s="31" t="s">
        <v>466</v>
      </c>
      <c r="BO26" s="40">
        <v>0.0</v>
      </c>
      <c r="BP26" s="31" t="s">
        <v>467</v>
      </c>
      <c r="BQ26" s="41" t="s">
        <v>468</v>
      </c>
      <c r="BR26" s="42" t="s">
        <v>469</v>
      </c>
      <c r="BS26" s="42" t="s">
        <v>470</v>
      </c>
      <c r="BT26" s="43" t="s">
        <v>471</v>
      </c>
      <c r="BU26" s="42" t="s">
        <v>472</v>
      </c>
    </row>
    <row r="27" ht="19.5" customHeight="1">
      <c r="A27" s="27" t="s">
        <v>473</v>
      </c>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9"/>
    </row>
    <row r="28" ht="36.0" customHeight="1">
      <c r="A28" s="30" t="s">
        <v>474</v>
      </c>
      <c r="B28" s="31" t="s">
        <v>475</v>
      </c>
      <c r="C28" s="31" t="s">
        <v>330</v>
      </c>
      <c r="D28" s="31" t="s">
        <v>85</v>
      </c>
      <c r="E28" s="31" t="s">
        <v>476</v>
      </c>
      <c r="F28" s="31" t="s">
        <v>308</v>
      </c>
      <c r="G28" s="31" t="s">
        <v>309</v>
      </c>
      <c r="H28" s="31">
        <v>3.0</v>
      </c>
      <c r="I28" s="31" t="s">
        <v>454</v>
      </c>
      <c r="J28" s="31" t="s">
        <v>477</v>
      </c>
      <c r="K28" s="32">
        <v>0.0</v>
      </c>
      <c r="L28" s="31" t="s">
        <v>478</v>
      </c>
      <c r="M28" s="33">
        <v>1.0</v>
      </c>
      <c r="N28" s="34">
        <v>0.0</v>
      </c>
      <c r="O28" s="34">
        <v>0.0</v>
      </c>
      <c r="P28" s="34">
        <v>1.0</v>
      </c>
      <c r="Q28" s="34">
        <v>1.0</v>
      </c>
      <c r="R28" s="35">
        <v>1.0</v>
      </c>
      <c r="S28" s="34">
        <v>25000.0</v>
      </c>
      <c r="T28" s="34">
        <v>25000.0</v>
      </c>
      <c r="U28" s="34">
        <v>25000.0</v>
      </c>
      <c r="V28" s="34">
        <v>8.0</v>
      </c>
      <c r="W28" s="34" t="s">
        <v>479</v>
      </c>
      <c r="X28" s="34">
        <v>0.0</v>
      </c>
      <c r="Y28" s="34" t="s">
        <v>480</v>
      </c>
      <c r="Z28" s="34" t="s">
        <v>122</v>
      </c>
      <c r="AA28" s="34">
        <v>0.0</v>
      </c>
      <c r="AB28" s="34">
        <v>0.0</v>
      </c>
      <c r="AC28" s="34">
        <v>0.0</v>
      </c>
      <c r="AD28" s="34">
        <f t="shared" ref="AD28:AD29" si="16">SUM(AA32,AB32,AC32)</f>
        <v>0</v>
      </c>
      <c r="AE28" s="34">
        <v>0.0</v>
      </c>
      <c r="AF28" s="36" t="str">
        <f t="shared" ref="AF28:AF29" si="17">IFERROR(U28/AD28,"")</f>
        <v/>
      </c>
      <c r="AG28" s="31" t="s">
        <v>481</v>
      </c>
      <c r="AH28" s="34">
        <v>1.0</v>
      </c>
      <c r="AI28" s="34">
        <v>0.0</v>
      </c>
      <c r="AJ28" s="34" t="s">
        <v>96</v>
      </c>
      <c r="AK28" s="34" t="s">
        <v>482</v>
      </c>
      <c r="AL28" s="31" t="s">
        <v>176</v>
      </c>
      <c r="AM28" s="31">
        <v>2.0</v>
      </c>
      <c r="AN28" s="31">
        <v>3.0</v>
      </c>
      <c r="AO28" s="31" t="s">
        <v>483</v>
      </c>
      <c r="AP28" s="31" t="s">
        <v>484</v>
      </c>
      <c r="AQ28" s="37">
        <f t="shared" ref="AQ28:AQ29" si="18">IFERROR(AN28/(U28/10000),"")</f>
        <v>1.2</v>
      </c>
      <c r="AR28" s="31" t="s">
        <v>343</v>
      </c>
      <c r="AS28" s="31" t="s">
        <v>485</v>
      </c>
      <c r="AT28" s="32">
        <v>2.0</v>
      </c>
      <c r="AU28" s="31" t="s">
        <v>103</v>
      </c>
      <c r="AV28" s="31" t="s">
        <v>102</v>
      </c>
      <c r="AW28" s="38">
        <v>8.0</v>
      </c>
      <c r="AX28" s="31" t="s">
        <v>486</v>
      </c>
      <c r="AY28" s="31">
        <v>3.0</v>
      </c>
      <c r="AZ28" s="31">
        <v>21.0</v>
      </c>
      <c r="BA28" s="39">
        <v>463.0</v>
      </c>
      <c r="BB28" s="39">
        <v>3675.0</v>
      </c>
      <c r="BC28" s="38">
        <v>35.0</v>
      </c>
      <c r="BD28" s="39">
        <v>82.0</v>
      </c>
      <c r="BE28" s="39">
        <v>327.0</v>
      </c>
      <c r="BF28" s="31" t="s">
        <v>487</v>
      </c>
      <c r="BG28" s="38">
        <v>1.0</v>
      </c>
      <c r="BH28" s="33">
        <v>0.0</v>
      </c>
      <c r="BI28" s="31" t="s">
        <v>488</v>
      </c>
      <c r="BJ28" s="39" t="s">
        <v>489</v>
      </c>
      <c r="BK28" s="39" t="s">
        <v>490</v>
      </c>
      <c r="BL28" s="39" t="s">
        <v>490</v>
      </c>
      <c r="BM28" s="40">
        <v>0.0</v>
      </c>
      <c r="BN28" s="31" t="s">
        <v>491</v>
      </c>
      <c r="BO28" s="40">
        <v>0.0</v>
      </c>
      <c r="BP28" s="31" t="s">
        <v>492</v>
      </c>
      <c r="BQ28" s="41" t="s">
        <v>493</v>
      </c>
      <c r="BR28" s="42" t="s">
        <v>494</v>
      </c>
      <c r="BS28" s="42" t="s">
        <v>495</v>
      </c>
      <c r="BT28" s="43" t="s">
        <v>496</v>
      </c>
      <c r="BU28" s="42" t="s">
        <v>497</v>
      </c>
    </row>
    <row r="29" ht="36.0" customHeight="1">
      <c r="A29" s="44" t="s">
        <v>498</v>
      </c>
      <c r="B29" s="45" t="s">
        <v>499</v>
      </c>
      <c r="C29" s="45" t="s">
        <v>500</v>
      </c>
      <c r="D29" s="45" t="s">
        <v>85</v>
      </c>
      <c r="E29" s="45" t="s">
        <v>501</v>
      </c>
      <c r="F29" s="45" t="s">
        <v>87</v>
      </c>
      <c r="G29" s="45" t="s">
        <v>309</v>
      </c>
      <c r="H29" s="45">
        <v>3.0</v>
      </c>
      <c r="I29" s="45" t="s">
        <v>502</v>
      </c>
      <c r="J29" s="45" t="s">
        <v>503</v>
      </c>
      <c r="K29" s="46">
        <v>0.0</v>
      </c>
      <c r="L29" s="45" t="s">
        <v>504</v>
      </c>
      <c r="M29" s="47">
        <v>3.0</v>
      </c>
      <c r="N29" s="48">
        <v>0.0</v>
      </c>
      <c r="O29" s="48">
        <v>0.0</v>
      </c>
      <c r="P29" s="48">
        <v>0.0</v>
      </c>
      <c r="Q29" s="48">
        <v>1.0</v>
      </c>
      <c r="R29" s="49">
        <v>0.0</v>
      </c>
      <c r="S29" s="48">
        <v>660000.0</v>
      </c>
      <c r="T29" s="48" t="s">
        <v>215</v>
      </c>
      <c r="U29" s="48" t="s">
        <v>215</v>
      </c>
      <c r="V29" s="48" t="s">
        <v>505</v>
      </c>
      <c r="W29" s="48" t="s">
        <v>506</v>
      </c>
      <c r="X29" s="48">
        <v>17.0</v>
      </c>
      <c r="Y29" s="48" t="s">
        <v>507</v>
      </c>
      <c r="Z29" s="48" t="s">
        <v>508</v>
      </c>
      <c r="AA29" s="48">
        <v>0.0</v>
      </c>
      <c r="AB29" s="48">
        <v>0.0</v>
      </c>
      <c r="AC29" s="48">
        <v>0.0</v>
      </c>
      <c r="AD29" s="48">
        <f t="shared" si="16"/>
        <v>65</v>
      </c>
      <c r="AE29" s="48">
        <v>0.0</v>
      </c>
      <c r="AF29" s="50" t="str">
        <f t="shared" si="17"/>
        <v/>
      </c>
      <c r="AG29" s="45" t="s">
        <v>509</v>
      </c>
      <c r="AH29" s="48">
        <v>0.0</v>
      </c>
      <c r="AI29" s="48">
        <v>0.0</v>
      </c>
      <c r="AJ29" s="48"/>
      <c r="AK29" s="48" t="s">
        <v>510</v>
      </c>
      <c r="AL29" s="45" t="s">
        <v>98</v>
      </c>
      <c r="AM29" s="45">
        <v>1.0</v>
      </c>
      <c r="AN29" s="45">
        <v>3.0</v>
      </c>
      <c r="AO29" s="45" t="s">
        <v>511</v>
      </c>
      <c r="AP29" s="45">
        <v>12.0</v>
      </c>
      <c r="AQ29" s="51" t="str">
        <f t="shared" si="18"/>
        <v/>
      </c>
      <c r="AR29" s="45" t="s">
        <v>343</v>
      </c>
      <c r="AS29" s="45" t="s">
        <v>512</v>
      </c>
      <c r="AT29" s="46">
        <v>2.0</v>
      </c>
      <c r="AU29" s="45" t="s">
        <v>103</v>
      </c>
      <c r="AV29" s="45" t="s">
        <v>440</v>
      </c>
      <c r="AW29" s="52">
        <v>7.0</v>
      </c>
      <c r="AX29" s="45" t="s">
        <v>513</v>
      </c>
      <c r="AY29" s="45">
        <v>30.0</v>
      </c>
      <c r="AZ29" s="45">
        <v>180.0</v>
      </c>
      <c r="BA29" s="53">
        <v>817.0</v>
      </c>
      <c r="BB29" s="53">
        <v>9537.0</v>
      </c>
      <c r="BC29" s="52">
        <v>63.0</v>
      </c>
      <c r="BD29" s="53">
        <v>41.0</v>
      </c>
      <c r="BE29" s="53">
        <v>9537.0</v>
      </c>
      <c r="BF29" s="45" t="s">
        <v>514</v>
      </c>
      <c r="BG29" s="52">
        <v>0.0</v>
      </c>
      <c r="BH29" s="47">
        <v>0.0</v>
      </c>
      <c r="BI29" s="45" t="s">
        <v>515</v>
      </c>
      <c r="BJ29" s="53" t="s">
        <v>516</v>
      </c>
      <c r="BK29" s="53" t="s">
        <v>516</v>
      </c>
      <c r="BL29" s="53" t="s">
        <v>516</v>
      </c>
      <c r="BM29" s="54">
        <v>0.0</v>
      </c>
      <c r="BN29" s="45" t="s">
        <v>517</v>
      </c>
      <c r="BO29" s="54">
        <v>0.0</v>
      </c>
      <c r="BP29" s="45" t="s">
        <v>518</v>
      </c>
      <c r="BQ29" s="55" t="s">
        <v>519</v>
      </c>
      <c r="BR29" s="56" t="s">
        <v>520</v>
      </c>
      <c r="BS29" s="56" t="s">
        <v>521</v>
      </c>
      <c r="BT29" s="57" t="s">
        <v>522</v>
      </c>
      <c r="BU29" s="56" t="s">
        <v>523</v>
      </c>
    </row>
    <row r="30" ht="9.75" customHeight="1">
      <c r="A30" s="67"/>
      <c r="B30" s="67"/>
      <c r="C30" s="67"/>
      <c r="D30" s="67"/>
      <c r="E30" s="67"/>
      <c r="F30" s="67"/>
      <c r="G30" s="67"/>
      <c r="H30" s="67"/>
      <c r="I30" s="67"/>
      <c r="J30" s="67"/>
      <c r="K30" s="68"/>
      <c r="L30" s="67"/>
      <c r="M30" s="67"/>
      <c r="N30" s="67"/>
      <c r="O30" s="67"/>
      <c r="P30" s="67"/>
      <c r="Q30" s="67"/>
      <c r="R30" s="68"/>
      <c r="S30" s="67"/>
      <c r="T30" s="67"/>
      <c r="U30" s="67"/>
      <c r="V30" s="67"/>
      <c r="W30" s="67"/>
      <c r="X30" s="67"/>
      <c r="Y30" s="67"/>
      <c r="Z30" s="67"/>
      <c r="AA30" s="67"/>
      <c r="AB30" s="67"/>
      <c r="AC30" s="67"/>
      <c r="AD30" s="67"/>
      <c r="AE30" s="67"/>
      <c r="AF30" s="68"/>
      <c r="AG30" s="67"/>
      <c r="AH30" s="67"/>
      <c r="AI30" s="67"/>
      <c r="AJ30" s="67"/>
      <c r="AK30" s="67"/>
      <c r="AL30" s="67"/>
      <c r="AM30" s="67"/>
      <c r="AN30" s="67"/>
      <c r="AO30" s="67"/>
      <c r="AP30" s="67"/>
      <c r="AQ30" s="67"/>
      <c r="AR30" s="67"/>
      <c r="AS30" s="67"/>
      <c r="AT30" s="68"/>
      <c r="AU30" s="67"/>
      <c r="AV30" s="67"/>
      <c r="AW30" s="69"/>
      <c r="AX30" s="67"/>
      <c r="AY30" s="67"/>
      <c r="AZ30" s="67"/>
      <c r="BA30" s="67"/>
      <c r="BB30" s="67"/>
      <c r="BC30" s="69"/>
      <c r="BD30" s="67"/>
      <c r="BE30" s="67"/>
      <c r="BF30" s="67"/>
      <c r="BG30" s="69"/>
      <c r="BH30" s="67"/>
      <c r="BI30" s="67"/>
      <c r="BJ30" s="67"/>
      <c r="BK30" s="67"/>
      <c r="BL30" s="67"/>
      <c r="BM30" s="69"/>
      <c r="BN30" s="67"/>
      <c r="BO30" s="69"/>
      <c r="BP30" s="67"/>
      <c r="BQ30" s="70"/>
      <c r="BR30" s="67"/>
      <c r="BS30" s="67"/>
      <c r="BT30" s="68"/>
      <c r="BU30" s="67"/>
    </row>
    <row r="31" ht="9.75" customHeight="1">
      <c r="A31" s="67"/>
      <c r="B31" s="67"/>
      <c r="C31" s="67"/>
      <c r="D31" s="67"/>
      <c r="E31" s="67"/>
      <c r="F31" s="67"/>
      <c r="G31" s="67"/>
      <c r="H31" s="67"/>
      <c r="I31" s="67"/>
      <c r="J31" s="67"/>
      <c r="K31" s="68"/>
      <c r="L31" s="67"/>
      <c r="M31" s="71"/>
      <c r="N31" s="72"/>
      <c r="O31" s="72"/>
      <c r="P31" s="72"/>
      <c r="Q31" s="72"/>
      <c r="R31" s="73"/>
      <c r="S31" s="72"/>
      <c r="T31" s="72"/>
      <c r="U31" s="72"/>
      <c r="V31" s="72"/>
      <c r="W31" s="72"/>
      <c r="X31" s="72"/>
      <c r="Y31" s="72"/>
      <c r="Z31" s="72"/>
      <c r="AA31" s="72"/>
      <c r="AB31" s="72"/>
      <c r="AC31" s="72"/>
      <c r="AD31" s="72"/>
      <c r="AE31" s="72"/>
      <c r="AF31" s="74"/>
      <c r="AG31" s="67"/>
      <c r="AH31" s="72"/>
      <c r="AI31" s="72"/>
      <c r="AJ31" s="72"/>
      <c r="AK31" s="72"/>
      <c r="AL31" s="67"/>
      <c r="AM31" s="67"/>
      <c r="AN31" s="67"/>
      <c r="AO31" s="67"/>
      <c r="AP31" s="67"/>
      <c r="AQ31" s="75"/>
      <c r="AR31" s="67"/>
      <c r="AS31" s="67"/>
      <c r="AT31" s="68"/>
      <c r="AU31" s="67"/>
      <c r="AV31" s="67"/>
      <c r="AW31" s="76"/>
      <c r="AX31" s="67"/>
      <c r="AY31" s="67"/>
      <c r="AZ31" s="67"/>
      <c r="BA31" s="77"/>
      <c r="BB31" s="77"/>
      <c r="BC31" s="76"/>
      <c r="BD31" s="77"/>
      <c r="BE31" s="77"/>
      <c r="BF31" s="67"/>
      <c r="BG31" s="76"/>
      <c r="BH31" s="71"/>
      <c r="BI31" s="67"/>
      <c r="BJ31" s="77"/>
      <c r="BK31" s="77"/>
      <c r="BL31" s="77"/>
      <c r="BM31" s="69"/>
      <c r="BN31" s="67"/>
      <c r="BO31" s="69"/>
      <c r="BP31" s="67"/>
      <c r="BQ31" s="70"/>
      <c r="BR31" s="67"/>
      <c r="BS31" s="67"/>
      <c r="BT31" s="68"/>
      <c r="BU31" s="67"/>
    </row>
    <row r="32" ht="19.5" customHeight="1">
      <c r="A32" s="78" t="s">
        <v>524</v>
      </c>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9"/>
    </row>
    <row r="33" ht="36.0" customHeight="1">
      <c r="A33" s="79" t="s">
        <v>525</v>
      </c>
      <c r="B33" s="80" t="s">
        <v>83</v>
      </c>
      <c r="C33" s="80" t="s">
        <v>84</v>
      </c>
      <c r="D33" s="81" t="s">
        <v>358</v>
      </c>
      <c r="E33" s="81" t="s">
        <v>526</v>
      </c>
      <c r="F33" s="81" t="s">
        <v>308</v>
      </c>
      <c r="G33" s="81" t="s">
        <v>527</v>
      </c>
      <c r="H33" s="81">
        <v>5.0</v>
      </c>
      <c r="I33" s="81">
        <v>2025.0</v>
      </c>
      <c r="J33" s="81" t="s">
        <v>528</v>
      </c>
      <c r="K33" s="82" t="s">
        <v>83</v>
      </c>
      <c r="L33" s="81" t="s">
        <v>529</v>
      </c>
      <c r="M33" s="83">
        <v>5.0</v>
      </c>
      <c r="N33" s="84">
        <v>1.0</v>
      </c>
      <c r="O33" s="84">
        <v>0.0</v>
      </c>
      <c r="P33" s="84"/>
      <c r="Q33" s="84">
        <v>0.0</v>
      </c>
      <c r="R33" s="85">
        <v>0.0</v>
      </c>
      <c r="S33" s="84">
        <v>1307000.0</v>
      </c>
      <c r="T33" s="84"/>
      <c r="U33" s="84"/>
      <c r="V33" s="84">
        <v>14.0</v>
      </c>
      <c r="W33" s="84" t="s">
        <v>530</v>
      </c>
      <c r="X33" s="84">
        <v>30.0</v>
      </c>
      <c r="Y33" s="84" t="s">
        <v>531</v>
      </c>
      <c r="Z33" s="84" t="s">
        <v>532</v>
      </c>
      <c r="AA33" s="84">
        <v>65.0</v>
      </c>
      <c r="AB33" s="84" t="s">
        <v>83</v>
      </c>
      <c r="AC33" s="84">
        <v>0.0</v>
      </c>
      <c r="AD33" s="84">
        <f t="shared" ref="AD33:AD34" si="19">SUM(AA6,AB6,AC6)</f>
        <v>0</v>
      </c>
      <c r="AE33" s="84">
        <v>0.0</v>
      </c>
      <c r="AF33" s="86" t="str">
        <f t="shared" ref="AF33:AF34" si="20">IFERROR(U33/AD33,"")</f>
        <v/>
      </c>
      <c r="AG33" s="81" t="s">
        <v>533</v>
      </c>
      <c r="AH33" s="84">
        <v>1.0</v>
      </c>
      <c r="AI33" s="84">
        <v>1.0</v>
      </c>
      <c r="AJ33" s="84" t="s">
        <v>96</v>
      </c>
      <c r="AK33" s="84" t="s">
        <v>534</v>
      </c>
      <c r="AL33" s="81" t="s">
        <v>535</v>
      </c>
      <c r="AM33" s="81"/>
      <c r="AN33" s="81">
        <v>7.0</v>
      </c>
      <c r="AO33" s="81"/>
      <c r="AP33" s="81"/>
      <c r="AQ33" s="87" t="str">
        <f t="shared" ref="AQ33:AQ34" si="21">IFERROR(AN33/(U33/10000),"")</f>
        <v/>
      </c>
      <c r="AR33" s="81" t="s">
        <v>100</v>
      </c>
      <c r="AS33" s="81" t="s">
        <v>536</v>
      </c>
      <c r="AT33" s="82">
        <v>3.0</v>
      </c>
      <c r="AU33" s="81" t="s">
        <v>102</v>
      </c>
      <c r="AV33" s="81" t="s">
        <v>440</v>
      </c>
      <c r="AW33" s="88">
        <v>14.0</v>
      </c>
      <c r="AX33" s="81" t="s">
        <v>537</v>
      </c>
      <c r="AY33" s="81">
        <v>4.0</v>
      </c>
      <c r="AZ33" s="81">
        <v>21.0</v>
      </c>
      <c r="BA33" s="89">
        <v>6400.0</v>
      </c>
      <c r="BB33" s="89">
        <v>81900.0</v>
      </c>
      <c r="BC33" s="88">
        <v>44.0</v>
      </c>
      <c r="BD33" s="89" t="s">
        <v>83</v>
      </c>
      <c r="BE33" s="89" t="s">
        <v>83</v>
      </c>
      <c r="BF33" s="81" t="s">
        <v>538</v>
      </c>
      <c r="BG33" s="88"/>
      <c r="BH33" s="83"/>
      <c r="BI33" s="81"/>
      <c r="BJ33" s="89"/>
      <c r="BK33" s="89"/>
      <c r="BL33" s="89"/>
      <c r="BM33" s="90">
        <v>1.0</v>
      </c>
      <c r="BN33" s="81" t="s">
        <v>539</v>
      </c>
      <c r="BO33" s="90">
        <v>1.0</v>
      </c>
      <c r="BP33" s="81" t="s">
        <v>540</v>
      </c>
      <c r="BQ33" s="91" t="s">
        <v>541</v>
      </c>
      <c r="BR33" s="92" t="s">
        <v>542</v>
      </c>
      <c r="BS33" s="92" t="s">
        <v>543</v>
      </c>
      <c r="BT33" s="93" t="s">
        <v>544</v>
      </c>
      <c r="BU33" s="92" t="s">
        <v>545</v>
      </c>
    </row>
    <row r="34" ht="36.0" customHeight="1">
      <c r="A34" s="94" t="s">
        <v>546</v>
      </c>
      <c r="B34" s="95" t="s">
        <v>83</v>
      </c>
      <c r="C34" s="95" t="s">
        <v>115</v>
      </c>
      <c r="D34" s="96" t="s">
        <v>85</v>
      </c>
      <c r="E34" s="96" t="s">
        <v>116</v>
      </c>
      <c r="F34" s="96"/>
      <c r="G34" s="96" t="s">
        <v>547</v>
      </c>
      <c r="H34" s="96">
        <v>4.0</v>
      </c>
      <c r="I34" s="96"/>
      <c r="J34" s="96"/>
      <c r="K34" s="97">
        <v>1.0</v>
      </c>
      <c r="L34" s="96" t="s">
        <v>548</v>
      </c>
      <c r="M34" s="98"/>
      <c r="N34" s="99"/>
      <c r="O34" s="99"/>
      <c r="P34" s="99"/>
      <c r="Q34" s="99"/>
      <c r="R34" s="100"/>
      <c r="S34" s="99">
        <v>2831000.0</v>
      </c>
      <c r="T34" s="99">
        <v>480000.0</v>
      </c>
      <c r="U34" s="99">
        <v>40000.0</v>
      </c>
      <c r="V34" s="99"/>
      <c r="W34" s="99"/>
      <c r="X34" s="99"/>
      <c r="Y34" s="99"/>
      <c r="Z34" s="99"/>
      <c r="AA34" s="96">
        <v>10.0</v>
      </c>
      <c r="AB34" s="99">
        <v>452.0</v>
      </c>
      <c r="AC34" s="99">
        <v>0.0</v>
      </c>
      <c r="AD34" s="99">
        <f t="shared" si="19"/>
        <v>97</v>
      </c>
      <c r="AE34" s="99">
        <v>95.0</v>
      </c>
      <c r="AF34" s="101">
        <f t="shared" si="20"/>
        <v>412.371134</v>
      </c>
      <c r="AG34" s="96"/>
      <c r="AH34" s="99"/>
      <c r="AI34" s="99"/>
      <c r="AJ34" s="99"/>
      <c r="AK34" s="99"/>
      <c r="AL34" s="96"/>
      <c r="AM34" s="96"/>
      <c r="AN34" s="96"/>
      <c r="AO34" s="96"/>
      <c r="AP34" s="96"/>
      <c r="AQ34" s="102">
        <f t="shared" si="21"/>
        <v>0</v>
      </c>
      <c r="AR34" s="96" t="s">
        <v>127</v>
      </c>
      <c r="AS34" s="96"/>
      <c r="AT34" s="97"/>
      <c r="AU34" s="96"/>
      <c r="AV34" s="96"/>
      <c r="AW34" s="103"/>
      <c r="AX34" s="96"/>
      <c r="AY34" s="96"/>
      <c r="AZ34" s="96"/>
      <c r="BA34" s="104"/>
      <c r="BB34" s="104"/>
      <c r="BC34" s="103"/>
      <c r="BD34" s="104"/>
      <c r="BE34" s="104"/>
      <c r="BF34" s="96"/>
      <c r="BG34" s="103"/>
      <c r="BH34" s="98"/>
      <c r="BI34" s="96"/>
      <c r="BJ34" s="104"/>
      <c r="BK34" s="104"/>
      <c r="BL34" s="104"/>
      <c r="BM34" s="105"/>
      <c r="BN34" s="96"/>
      <c r="BO34" s="105"/>
      <c r="BP34" s="96"/>
      <c r="BQ34" s="106"/>
      <c r="BR34" s="107" t="s">
        <v>549</v>
      </c>
      <c r="BS34" s="107" t="s">
        <v>550</v>
      </c>
      <c r="BT34" s="108" t="s">
        <v>551</v>
      </c>
      <c r="BU34" s="107" t="s">
        <v>552</v>
      </c>
    </row>
    <row r="35" ht="15.0"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row>
    <row r="36" ht="15.0" customHeight="1">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row>
    <row r="37" ht="15.0" customHeight="1">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7"/>
      <c r="BK37" s="67"/>
      <c r="BL37" s="67"/>
      <c r="BM37" s="67"/>
      <c r="BN37" s="67"/>
      <c r="BO37" s="67"/>
      <c r="BP37" s="67"/>
      <c r="BQ37" s="67"/>
      <c r="BR37" s="67"/>
      <c r="BS37" s="67"/>
      <c r="BT37" s="67"/>
      <c r="BU37" s="67"/>
    </row>
    <row r="38" ht="15.0" customHeight="1">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row>
    <row r="39" ht="15.0" customHeight="1">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c r="BU39" s="67"/>
    </row>
    <row r="40" ht="15.0" customHeight="1">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row>
    <row r="41" ht="15.0" customHeight="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row>
    <row r="42" ht="15.0" customHeight="1">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row>
    <row r="43" ht="15.0" customHeight="1">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row>
    <row r="44" ht="15.0" customHeight="1">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row>
    <row r="45" ht="15.0" customHeigh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row>
    <row r="46" ht="15.0" customHeight="1">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row>
    <row r="47" ht="15.0"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row>
    <row r="48" ht="15.0"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row>
    <row r="49" ht="15.0" customHeigh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row>
    <row r="50" ht="15.0" customHeigh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row>
    <row r="51" ht="15.0" customHeigh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row>
    <row r="52" ht="15.0" customHeigh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row>
    <row r="53" ht="15.0"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row>
    <row r="54" ht="15.0" customHeigh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row>
    <row r="55" ht="15.0" customHeigh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row>
    <row r="56" ht="15.0" customHeigh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row>
    <row r="57" ht="15.0"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row>
    <row r="58" ht="15.0" customHeigh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row>
    <row r="59" ht="15.0" customHeigh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row>
    <row r="60" ht="15.0" customHeigh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row>
    <row r="61" ht="15.0"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row>
    <row r="62" ht="15.0"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row>
    <row r="63" ht="15.0" customHeigh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row>
    <row r="64" ht="15.0"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row>
    <row r="65" ht="15.0" customHeigh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row>
    <row r="66" ht="15.0"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row>
    <row r="67" ht="15.0"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row>
    <row r="68" ht="15.0"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row>
    <row r="69" ht="15.0"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row>
    <row r="70" ht="15.0"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row>
    <row r="71" ht="15.0"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row>
    <row r="72" ht="15.0"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row>
    <row r="73" ht="15.0"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c r="BU73" s="67"/>
    </row>
    <row r="74" ht="15.0"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row>
    <row r="75" ht="15.0"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row>
    <row r="76" ht="15.0"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row>
    <row r="77" ht="15.0"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7"/>
      <c r="BO77" s="67"/>
      <c r="BP77" s="67"/>
      <c r="BQ77" s="67"/>
      <c r="BR77" s="67"/>
      <c r="BS77" s="67"/>
      <c r="BT77" s="67"/>
      <c r="BU77" s="67"/>
    </row>
    <row r="78" ht="15.0"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row>
    <row r="79" ht="15.0"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row>
    <row r="80" ht="15.0"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row>
    <row r="81" ht="15.0"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row>
    <row r="82" ht="15.0"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c r="BU82" s="67"/>
    </row>
    <row r="83" ht="15.0"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7"/>
      <c r="BK83" s="67"/>
      <c r="BL83" s="67"/>
      <c r="BM83" s="67"/>
      <c r="BN83" s="67"/>
      <c r="BO83" s="67"/>
      <c r="BP83" s="67"/>
      <c r="BQ83" s="67"/>
      <c r="BR83" s="67"/>
      <c r="BS83" s="67"/>
      <c r="BT83" s="67"/>
      <c r="BU83" s="67"/>
    </row>
    <row r="84" ht="15.0"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c r="BU84" s="67"/>
    </row>
    <row r="85" ht="15.0"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row>
    <row r="86" ht="15.0"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7"/>
      <c r="BK86" s="67"/>
      <c r="BL86" s="67"/>
      <c r="BM86" s="67"/>
      <c r="BN86" s="67"/>
      <c r="BO86" s="67"/>
      <c r="BP86" s="67"/>
      <c r="BQ86" s="67"/>
      <c r="BR86" s="67"/>
      <c r="BS86" s="67"/>
      <c r="BT86" s="67"/>
      <c r="BU86" s="67"/>
    </row>
    <row r="87" ht="15.0"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c r="BU87" s="67"/>
    </row>
    <row r="88" ht="15.0"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row>
    <row r="89" ht="15.0"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row>
    <row r="90" ht="15.0"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row>
    <row r="91" ht="15.0"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row>
    <row r="92" ht="15.0"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row>
    <row r="93" ht="15.0"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row>
    <row r="94" ht="15.0"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row>
    <row r="95" ht="15.0"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row>
    <row r="96" ht="15.0"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row>
    <row r="97" ht="15.0"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row>
    <row r="98" ht="15.0"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row>
    <row r="99" ht="15.0"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row>
    <row r="100" ht="15.0"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row>
    <row r="101" ht="15.0"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row>
    <row r="102" ht="15.0"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67"/>
      <c r="BN102" s="67"/>
      <c r="BO102" s="67"/>
      <c r="BP102" s="67"/>
      <c r="BQ102" s="67"/>
      <c r="BR102" s="67"/>
      <c r="BS102" s="67"/>
      <c r="BT102" s="67"/>
      <c r="BU102" s="67"/>
    </row>
    <row r="103" ht="15.0"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row>
    <row r="104" ht="15.0"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row>
    <row r="105" ht="15.0"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7"/>
      <c r="BO105" s="67"/>
      <c r="BP105" s="67"/>
      <c r="BQ105" s="67"/>
      <c r="BR105" s="67"/>
      <c r="BS105" s="67"/>
      <c r="BT105" s="67"/>
      <c r="BU105" s="67"/>
    </row>
    <row r="106" ht="15.0"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row>
    <row r="107" ht="15.0"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row>
    <row r="108" ht="15.0"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c r="BU108" s="67"/>
    </row>
    <row r="109" ht="15.0"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c r="BU109" s="67"/>
    </row>
    <row r="110" ht="15.0"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c r="BU110" s="67"/>
    </row>
    <row r="111" ht="15.0"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c r="BU111" s="67"/>
    </row>
    <row r="112" ht="15.0"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c r="BU112" s="67"/>
    </row>
    <row r="113" ht="15.0"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67"/>
      <c r="BT113" s="67"/>
      <c r="BU113" s="67"/>
    </row>
    <row r="114" ht="15.0"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row>
    <row r="115" ht="15.0"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7"/>
      <c r="BK115" s="67"/>
      <c r="BL115" s="67"/>
      <c r="BM115" s="67"/>
      <c r="BN115" s="67"/>
      <c r="BO115" s="67"/>
      <c r="BP115" s="67"/>
      <c r="BQ115" s="67"/>
      <c r="BR115" s="67"/>
      <c r="BS115" s="67"/>
      <c r="BT115" s="67"/>
      <c r="BU115" s="67"/>
    </row>
    <row r="116" ht="15.0"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c r="BU116" s="67"/>
    </row>
    <row r="117" ht="15.0"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c r="BU117" s="67"/>
    </row>
    <row r="118" ht="15.0"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row>
    <row r="119" ht="15.0"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7"/>
      <c r="BK119" s="67"/>
      <c r="BL119" s="67"/>
      <c r="BM119" s="67"/>
      <c r="BN119" s="67"/>
      <c r="BO119" s="67"/>
      <c r="BP119" s="67"/>
      <c r="BQ119" s="67"/>
      <c r="BR119" s="67"/>
      <c r="BS119" s="67"/>
      <c r="BT119" s="67"/>
      <c r="BU119" s="67"/>
    </row>
    <row r="120" ht="15.0"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7"/>
      <c r="BK120" s="67"/>
      <c r="BL120" s="67"/>
      <c r="BM120" s="67"/>
      <c r="BN120" s="67"/>
      <c r="BO120" s="67"/>
      <c r="BP120" s="67"/>
      <c r="BQ120" s="67"/>
      <c r="BR120" s="67"/>
      <c r="BS120" s="67"/>
      <c r="BT120" s="67"/>
      <c r="BU120" s="67"/>
    </row>
    <row r="121" ht="15.0"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c r="BU121" s="67"/>
    </row>
    <row r="122" ht="15.0"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7"/>
      <c r="BK122" s="67"/>
      <c r="BL122" s="67"/>
      <c r="BM122" s="67"/>
      <c r="BN122" s="67"/>
      <c r="BO122" s="67"/>
      <c r="BP122" s="67"/>
      <c r="BQ122" s="67"/>
      <c r="BR122" s="67"/>
      <c r="BS122" s="67"/>
      <c r="BT122" s="67"/>
      <c r="BU122" s="67"/>
    </row>
    <row r="123" ht="15.0"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c r="BU123" s="67"/>
    </row>
    <row r="124" ht="15.0"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row>
    <row r="125" ht="15.0"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row>
    <row r="126" ht="15.0"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row>
    <row r="127" ht="15.0"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row>
    <row r="128" ht="15.0"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7"/>
      <c r="BK128" s="67"/>
      <c r="BL128" s="67"/>
      <c r="BM128" s="67"/>
      <c r="BN128" s="67"/>
      <c r="BO128" s="67"/>
      <c r="BP128" s="67"/>
      <c r="BQ128" s="67"/>
      <c r="BR128" s="67"/>
      <c r="BS128" s="67"/>
      <c r="BT128" s="67"/>
      <c r="BU128" s="67"/>
    </row>
    <row r="129" ht="15.0"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c r="BU129" s="67"/>
    </row>
    <row r="130" ht="15.0"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7"/>
      <c r="BK130" s="67"/>
      <c r="BL130" s="67"/>
      <c r="BM130" s="67"/>
      <c r="BN130" s="67"/>
      <c r="BO130" s="67"/>
      <c r="BP130" s="67"/>
      <c r="BQ130" s="67"/>
      <c r="BR130" s="67"/>
      <c r="BS130" s="67"/>
      <c r="BT130" s="67"/>
      <c r="BU130" s="67"/>
    </row>
    <row r="131" ht="15.0"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c r="BU131" s="67"/>
    </row>
    <row r="132" ht="15.0"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7"/>
      <c r="BU132" s="67"/>
    </row>
    <row r="133" ht="15.0"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7"/>
      <c r="BK133" s="67"/>
      <c r="BL133" s="67"/>
      <c r="BM133" s="67"/>
      <c r="BN133" s="67"/>
      <c r="BO133" s="67"/>
      <c r="BP133" s="67"/>
      <c r="BQ133" s="67"/>
      <c r="BR133" s="67"/>
      <c r="BS133" s="67"/>
      <c r="BT133" s="67"/>
      <c r="BU133" s="67"/>
    </row>
    <row r="134" ht="15.0"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row>
    <row r="135" ht="15.0"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7"/>
      <c r="BU135" s="67"/>
    </row>
    <row r="136" ht="15.0"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row>
    <row r="137" ht="15.0"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c r="BU137" s="67"/>
    </row>
    <row r="138" ht="15.0"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row>
    <row r="139" ht="15.0"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c r="BU139" s="67"/>
    </row>
    <row r="140" ht="15.0"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c r="BU140" s="67"/>
    </row>
    <row r="141" ht="15.0"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c r="BU141" s="67"/>
    </row>
    <row r="142" ht="15.0"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c r="BU142" s="67"/>
    </row>
    <row r="143" ht="15.0"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c r="BU143" s="67"/>
    </row>
    <row r="144" ht="15.0"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row>
    <row r="145" ht="15.0"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row>
    <row r="146" ht="15.0"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row>
    <row r="147" ht="15.0"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row>
    <row r="148" ht="15.0"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7"/>
      <c r="BK148" s="67"/>
      <c r="BL148" s="67"/>
      <c r="BM148" s="67"/>
      <c r="BN148" s="67"/>
      <c r="BO148" s="67"/>
      <c r="BP148" s="67"/>
      <c r="BQ148" s="67"/>
      <c r="BR148" s="67"/>
      <c r="BS148" s="67"/>
      <c r="BT148" s="67"/>
      <c r="BU148" s="67"/>
    </row>
    <row r="149" ht="15.0"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c r="BU149" s="67"/>
    </row>
    <row r="150" ht="15.0"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row>
    <row r="151" ht="15.0"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c r="BU151" s="67"/>
    </row>
    <row r="152" ht="15.0"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row>
    <row r="153" ht="15.0"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row>
    <row r="154" ht="15.0"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row>
    <row r="155" ht="15.0"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row>
    <row r="156" ht="15.0"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7"/>
      <c r="BK156" s="67"/>
      <c r="BL156" s="67"/>
      <c r="BM156" s="67"/>
      <c r="BN156" s="67"/>
      <c r="BO156" s="67"/>
      <c r="BP156" s="67"/>
      <c r="BQ156" s="67"/>
      <c r="BR156" s="67"/>
      <c r="BS156" s="67"/>
      <c r="BT156" s="67"/>
      <c r="BU156" s="67"/>
    </row>
    <row r="157" ht="15.0"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c r="BU157" s="67"/>
    </row>
    <row r="158" ht="15.0"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7"/>
      <c r="BK158" s="67"/>
      <c r="BL158" s="67"/>
      <c r="BM158" s="67"/>
      <c r="BN158" s="67"/>
      <c r="BO158" s="67"/>
      <c r="BP158" s="67"/>
      <c r="BQ158" s="67"/>
      <c r="BR158" s="67"/>
      <c r="BS158" s="67"/>
      <c r="BT158" s="67"/>
      <c r="BU158" s="67"/>
    </row>
    <row r="159" ht="15.0"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row>
    <row r="160" ht="15.0"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7"/>
      <c r="BK160" s="67"/>
      <c r="BL160" s="67"/>
      <c r="BM160" s="67"/>
      <c r="BN160" s="67"/>
      <c r="BO160" s="67"/>
      <c r="BP160" s="67"/>
      <c r="BQ160" s="67"/>
      <c r="BR160" s="67"/>
      <c r="BS160" s="67"/>
      <c r="BT160" s="67"/>
      <c r="BU160" s="67"/>
    </row>
    <row r="161" ht="15.0"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c r="BU161" s="67"/>
    </row>
    <row r="162" ht="15.0"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7"/>
      <c r="BK162" s="67"/>
      <c r="BL162" s="67"/>
      <c r="BM162" s="67"/>
      <c r="BN162" s="67"/>
      <c r="BO162" s="67"/>
      <c r="BP162" s="67"/>
      <c r="BQ162" s="67"/>
      <c r="BR162" s="67"/>
      <c r="BS162" s="67"/>
      <c r="BT162" s="67"/>
      <c r="BU162" s="67"/>
    </row>
    <row r="163" ht="15.0"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row>
    <row r="164" ht="15.0"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row>
    <row r="165" ht="15.0"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row>
    <row r="166" ht="15.0"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7"/>
      <c r="BK166" s="67"/>
      <c r="BL166" s="67"/>
      <c r="BM166" s="67"/>
      <c r="BN166" s="67"/>
      <c r="BO166" s="67"/>
      <c r="BP166" s="67"/>
      <c r="BQ166" s="67"/>
      <c r="BR166" s="67"/>
      <c r="BS166" s="67"/>
      <c r="BT166" s="67"/>
      <c r="BU166" s="67"/>
    </row>
    <row r="167" ht="15.0"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c r="BU167" s="67"/>
    </row>
    <row r="168" ht="15.0"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7"/>
      <c r="BQ168" s="67"/>
      <c r="BR168" s="67"/>
      <c r="BS168" s="67"/>
      <c r="BT168" s="67"/>
      <c r="BU168" s="67"/>
    </row>
    <row r="169" ht="15.0"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row>
    <row r="170" ht="15.0"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row>
    <row r="171" ht="15.0"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7"/>
      <c r="BK171" s="67"/>
      <c r="BL171" s="67"/>
      <c r="BM171" s="67"/>
      <c r="BN171" s="67"/>
      <c r="BO171" s="67"/>
      <c r="BP171" s="67"/>
      <c r="BQ171" s="67"/>
      <c r="BR171" s="67"/>
      <c r="BS171" s="67"/>
      <c r="BT171" s="67"/>
      <c r="BU171" s="67"/>
    </row>
    <row r="172" ht="15.0"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7"/>
      <c r="BK172" s="67"/>
      <c r="BL172" s="67"/>
      <c r="BM172" s="67"/>
      <c r="BN172" s="67"/>
      <c r="BO172" s="67"/>
      <c r="BP172" s="67"/>
      <c r="BQ172" s="67"/>
      <c r="BR172" s="67"/>
      <c r="BS172" s="67"/>
      <c r="BT172" s="67"/>
      <c r="BU172" s="67"/>
    </row>
    <row r="173" ht="15.0"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row>
    <row r="174" ht="15.0"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67"/>
      <c r="BT174" s="67"/>
      <c r="BU174" s="67"/>
    </row>
    <row r="175" ht="15.0"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7"/>
      <c r="BK175" s="67"/>
      <c r="BL175" s="67"/>
      <c r="BM175" s="67"/>
      <c r="BN175" s="67"/>
      <c r="BO175" s="67"/>
      <c r="BP175" s="67"/>
      <c r="BQ175" s="67"/>
      <c r="BR175" s="67"/>
      <c r="BS175" s="67"/>
      <c r="BT175" s="67"/>
      <c r="BU175" s="67"/>
    </row>
    <row r="176" ht="15.0"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row>
    <row r="177" ht="15.0"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row>
    <row r="178" ht="15.0"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c r="BU178" s="67"/>
    </row>
    <row r="179" ht="15.0"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67"/>
      <c r="BT179" s="67"/>
      <c r="BU179" s="67"/>
    </row>
    <row r="180" ht="15.0"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7"/>
      <c r="BK180" s="67"/>
      <c r="BL180" s="67"/>
      <c r="BM180" s="67"/>
      <c r="BN180" s="67"/>
      <c r="BO180" s="67"/>
      <c r="BP180" s="67"/>
      <c r="BQ180" s="67"/>
      <c r="BR180" s="67"/>
      <c r="BS180" s="67"/>
      <c r="BT180" s="67"/>
      <c r="BU180" s="67"/>
    </row>
    <row r="181" ht="15.0"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row>
    <row r="182" ht="15.0"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7"/>
      <c r="BK182" s="67"/>
      <c r="BL182" s="67"/>
      <c r="BM182" s="67"/>
      <c r="BN182" s="67"/>
      <c r="BO182" s="67"/>
      <c r="BP182" s="67"/>
      <c r="BQ182" s="67"/>
      <c r="BR182" s="67"/>
      <c r="BS182" s="67"/>
      <c r="BT182" s="67"/>
      <c r="BU182" s="67"/>
    </row>
    <row r="183" ht="15.0"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7"/>
      <c r="BK183" s="67"/>
      <c r="BL183" s="67"/>
      <c r="BM183" s="67"/>
      <c r="BN183" s="67"/>
      <c r="BO183" s="67"/>
      <c r="BP183" s="67"/>
      <c r="BQ183" s="67"/>
      <c r="BR183" s="67"/>
      <c r="BS183" s="67"/>
      <c r="BT183" s="67"/>
      <c r="BU183" s="67"/>
    </row>
    <row r="184" ht="15.0"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row>
    <row r="185" ht="15.0"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7"/>
      <c r="BM185" s="67"/>
      <c r="BN185" s="67"/>
      <c r="BO185" s="67"/>
      <c r="BP185" s="67"/>
      <c r="BQ185" s="67"/>
      <c r="BR185" s="67"/>
      <c r="BS185" s="67"/>
      <c r="BT185" s="67"/>
      <c r="BU185" s="67"/>
    </row>
    <row r="186" ht="15.0"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c r="BU186" s="67"/>
    </row>
    <row r="187" ht="15.0"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c r="BU187" s="67"/>
    </row>
    <row r="188" ht="15.0"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row>
    <row r="189" ht="15.0"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7"/>
      <c r="BK189" s="67"/>
      <c r="BL189" s="67"/>
      <c r="BM189" s="67"/>
      <c r="BN189" s="67"/>
      <c r="BO189" s="67"/>
      <c r="BP189" s="67"/>
      <c r="BQ189" s="67"/>
      <c r="BR189" s="67"/>
      <c r="BS189" s="67"/>
      <c r="BT189" s="67"/>
      <c r="BU189" s="67"/>
    </row>
    <row r="190" ht="15.0"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c r="BA190" s="67"/>
      <c r="BB190" s="67"/>
      <c r="BC190" s="67"/>
      <c r="BD190" s="67"/>
      <c r="BE190" s="67"/>
      <c r="BF190" s="67"/>
      <c r="BG190" s="67"/>
      <c r="BH190" s="67"/>
      <c r="BI190" s="67"/>
      <c r="BJ190" s="67"/>
      <c r="BK190" s="67"/>
      <c r="BL190" s="67"/>
      <c r="BM190" s="67"/>
      <c r="BN190" s="67"/>
      <c r="BO190" s="67"/>
      <c r="BP190" s="67"/>
      <c r="BQ190" s="67"/>
      <c r="BR190" s="67"/>
      <c r="BS190" s="67"/>
      <c r="BT190" s="67"/>
      <c r="BU190" s="67"/>
    </row>
    <row r="191" ht="15.0"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c r="BJ191" s="67"/>
      <c r="BK191" s="67"/>
      <c r="BL191" s="67"/>
      <c r="BM191" s="67"/>
      <c r="BN191" s="67"/>
      <c r="BO191" s="67"/>
      <c r="BP191" s="67"/>
      <c r="BQ191" s="67"/>
      <c r="BR191" s="67"/>
      <c r="BS191" s="67"/>
      <c r="BT191" s="67"/>
      <c r="BU191" s="67"/>
    </row>
    <row r="192" ht="15.0"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7"/>
      <c r="BK192" s="67"/>
      <c r="BL192" s="67"/>
      <c r="BM192" s="67"/>
      <c r="BN192" s="67"/>
      <c r="BO192" s="67"/>
      <c r="BP192" s="67"/>
      <c r="BQ192" s="67"/>
      <c r="BR192" s="67"/>
      <c r="BS192" s="67"/>
      <c r="BT192" s="67"/>
      <c r="BU192" s="67"/>
    </row>
    <row r="193" ht="15.0"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7"/>
      <c r="BK193" s="67"/>
      <c r="BL193" s="67"/>
      <c r="BM193" s="67"/>
      <c r="BN193" s="67"/>
      <c r="BO193" s="67"/>
      <c r="BP193" s="67"/>
      <c r="BQ193" s="67"/>
      <c r="BR193" s="67"/>
      <c r="BS193" s="67"/>
      <c r="BT193" s="67"/>
      <c r="BU193" s="67"/>
    </row>
    <row r="194" ht="15.0"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row>
    <row r="195" ht="15.0"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7"/>
      <c r="BK195" s="67"/>
      <c r="BL195" s="67"/>
      <c r="BM195" s="67"/>
      <c r="BN195" s="67"/>
      <c r="BO195" s="67"/>
      <c r="BP195" s="67"/>
      <c r="BQ195" s="67"/>
      <c r="BR195" s="67"/>
      <c r="BS195" s="67"/>
      <c r="BT195" s="67"/>
      <c r="BU195" s="67"/>
    </row>
    <row r="196" ht="15.0"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7"/>
      <c r="BK196" s="67"/>
      <c r="BL196" s="67"/>
      <c r="BM196" s="67"/>
      <c r="BN196" s="67"/>
      <c r="BO196" s="67"/>
      <c r="BP196" s="67"/>
      <c r="BQ196" s="67"/>
      <c r="BR196" s="67"/>
      <c r="BS196" s="67"/>
      <c r="BT196" s="67"/>
      <c r="BU196" s="67"/>
    </row>
    <row r="197" ht="15.0"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row>
    <row r="198" ht="15.0"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7"/>
      <c r="BK198" s="67"/>
      <c r="BL198" s="67"/>
      <c r="BM198" s="67"/>
      <c r="BN198" s="67"/>
      <c r="BO198" s="67"/>
      <c r="BP198" s="67"/>
      <c r="BQ198" s="67"/>
      <c r="BR198" s="67"/>
      <c r="BS198" s="67"/>
      <c r="BT198" s="67"/>
      <c r="BU198" s="67"/>
    </row>
    <row r="199" ht="15.0"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c r="BU199" s="67"/>
    </row>
    <row r="200" ht="15.0"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c r="BU200" s="67"/>
    </row>
    <row r="201" ht="15.0"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row>
    <row r="202" ht="15.0"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row>
    <row r="203" ht="15.0"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7"/>
      <c r="BK203" s="67"/>
      <c r="BL203" s="67"/>
      <c r="BM203" s="67"/>
      <c r="BN203" s="67"/>
      <c r="BO203" s="67"/>
      <c r="BP203" s="67"/>
      <c r="BQ203" s="67"/>
      <c r="BR203" s="67"/>
      <c r="BS203" s="67"/>
      <c r="BT203" s="67"/>
      <c r="BU203" s="67"/>
    </row>
    <row r="204" ht="15.0"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7"/>
      <c r="BK204" s="67"/>
      <c r="BL204" s="67"/>
      <c r="BM204" s="67"/>
      <c r="BN204" s="67"/>
      <c r="BO204" s="67"/>
      <c r="BP204" s="67"/>
      <c r="BQ204" s="67"/>
      <c r="BR204" s="67"/>
      <c r="BS204" s="67"/>
      <c r="BT204" s="67"/>
      <c r="BU204" s="67"/>
    </row>
    <row r="205" ht="15.0"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row>
    <row r="206" ht="15.0"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7"/>
      <c r="BK206" s="67"/>
      <c r="BL206" s="67"/>
      <c r="BM206" s="67"/>
      <c r="BN206" s="67"/>
      <c r="BO206" s="67"/>
      <c r="BP206" s="67"/>
      <c r="BQ206" s="67"/>
      <c r="BR206" s="67"/>
      <c r="BS206" s="67"/>
      <c r="BT206" s="67"/>
      <c r="BU206" s="67"/>
    </row>
    <row r="207" ht="15.0"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7"/>
      <c r="BK207" s="67"/>
      <c r="BL207" s="67"/>
      <c r="BM207" s="67"/>
      <c r="BN207" s="67"/>
      <c r="BO207" s="67"/>
      <c r="BP207" s="67"/>
      <c r="BQ207" s="67"/>
      <c r="BR207" s="67"/>
      <c r="BS207" s="67"/>
      <c r="BT207" s="67"/>
      <c r="BU207" s="67"/>
    </row>
    <row r="208" ht="15.0"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row>
    <row r="209" ht="15.0"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c r="BA209" s="67"/>
      <c r="BB209" s="67"/>
      <c r="BC209" s="67"/>
      <c r="BD209" s="67"/>
      <c r="BE209" s="67"/>
      <c r="BF209" s="67"/>
      <c r="BG209" s="67"/>
      <c r="BH209" s="67"/>
      <c r="BI209" s="67"/>
      <c r="BJ209" s="67"/>
      <c r="BK209" s="67"/>
      <c r="BL209" s="67"/>
      <c r="BM209" s="67"/>
      <c r="BN209" s="67"/>
      <c r="BO209" s="67"/>
      <c r="BP209" s="67"/>
      <c r="BQ209" s="67"/>
      <c r="BR209" s="67"/>
      <c r="BS209" s="67"/>
      <c r="BT209" s="67"/>
      <c r="BU209" s="67"/>
    </row>
    <row r="210" ht="15.0"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c r="BJ210" s="67"/>
      <c r="BK210" s="67"/>
      <c r="BL210" s="67"/>
      <c r="BM210" s="67"/>
      <c r="BN210" s="67"/>
      <c r="BO210" s="67"/>
      <c r="BP210" s="67"/>
      <c r="BQ210" s="67"/>
      <c r="BR210" s="67"/>
      <c r="BS210" s="67"/>
      <c r="BT210" s="67"/>
      <c r="BU210" s="67"/>
    </row>
    <row r="211" ht="15.0"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c r="BA211" s="67"/>
      <c r="BB211" s="67"/>
      <c r="BC211" s="67"/>
      <c r="BD211" s="67"/>
      <c r="BE211" s="67"/>
      <c r="BF211" s="67"/>
      <c r="BG211" s="67"/>
      <c r="BH211" s="67"/>
      <c r="BI211" s="67"/>
      <c r="BJ211" s="67"/>
      <c r="BK211" s="67"/>
      <c r="BL211" s="67"/>
      <c r="BM211" s="67"/>
      <c r="BN211" s="67"/>
      <c r="BO211" s="67"/>
      <c r="BP211" s="67"/>
      <c r="BQ211" s="67"/>
      <c r="BR211" s="67"/>
      <c r="BS211" s="67"/>
      <c r="BT211" s="67"/>
      <c r="BU211" s="67"/>
    </row>
    <row r="212" ht="15.0"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c r="BA212" s="67"/>
      <c r="BB212" s="67"/>
      <c r="BC212" s="67"/>
      <c r="BD212" s="67"/>
      <c r="BE212" s="67"/>
      <c r="BF212" s="67"/>
      <c r="BG212" s="67"/>
      <c r="BH212" s="67"/>
      <c r="BI212" s="67"/>
      <c r="BJ212" s="67"/>
      <c r="BK212" s="67"/>
      <c r="BL212" s="67"/>
      <c r="BM212" s="67"/>
      <c r="BN212" s="67"/>
      <c r="BO212" s="67"/>
      <c r="BP212" s="67"/>
      <c r="BQ212" s="67"/>
      <c r="BR212" s="67"/>
      <c r="BS212" s="67"/>
      <c r="BT212" s="67"/>
      <c r="BU212" s="67"/>
    </row>
    <row r="213" ht="15.0"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7"/>
      <c r="BK213" s="67"/>
      <c r="BL213" s="67"/>
      <c r="BM213" s="67"/>
      <c r="BN213" s="67"/>
      <c r="BO213" s="67"/>
      <c r="BP213" s="67"/>
      <c r="BQ213" s="67"/>
      <c r="BR213" s="67"/>
      <c r="BS213" s="67"/>
      <c r="BT213" s="67"/>
      <c r="BU213" s="67"/>
    </row>
    <row r="214" ht="15.0"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67"/>
      <c r="BN214" s="67"/>
      <c r="BO214" s="67"/>
      <c r="BP214" s="67"/>
      <c r="BQ214" s="67"/>
      <c r="BR214" s="67"/>
      <c r="BS214" s="67"/>
      <c r="BT214" s="67"/>
      <c r="BU214" s="67"/>
    </row>
    <row r="215" ht="15.0"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c r="BU215" s="67"/>
    </row>
    <row r="216" ht="15.0"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row>
    <row r="217" ht="15.0"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c r="BA217" s="67"/>
      <c r="BB217" s="67"/>
      <c r="BC217" s="67"/>
      <c r="BD217" s="67"/>
      <c r="BE217" s="67"/>
      <c r="BF217" s="67"/>
      <c r="BG217" s="67"/>
      <c r="BH217" s="67"/>
      <c r="BI217" s="67"/>
      <c r="BJ217" s="67"/>
      <c r="BK217" s="67"/>
      <c r="BL217" s="67"/>
      <c r="BM217" s="67"/>
      <c r="BN217" s="67"/>
      <c r="BO217" s="67"/>
      <c r="BP217" s="67"/>
      <c r="BQ217" s="67"/>
      <c r="BR217" s="67"/>
      <c r="BS217" s="67"/>
      <c r="BT217" s="67"/>
      <c r="BU217" s="67"/>
    </row>
    <row r="218" ht="15.0"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7"/>
      <c r="AR218" s="67"/>
      <c r="AS218" s="67"/>
      <c r="AT218" s="67"/>
      <c r="AU218" s="67"/>
      <c r="AV218" s="67"/>
      <c r="AW218" s="67"/>
      <c r="AX218" s="67"/>
      <c r="AY218" s="67"/>
      <c r="AZ218" s="67"/>
      <c r="BA218" s="67"/>
      <c r="BB218" s="67"/>
      <c r="BC218" s="67"/>
      <c r="BD218" s="67"/>
      <c r="BE218" s="67"/>
      <c r="BF218" s="67"/>
      <c r="BG218" s="67"/>
      <c r="BH218" s="67"/>
      <c r="BI218" s="67"/>
      <c r="BJ218" s="67"/>
      <c r="BK218" s="67"/>
      <c r="BL218" s="67"/>
      <c r="BM218" s="67"/>
      <c r="BN218" s="67"/>
      <c r="BO218" s="67"/>
      <c r="BP218" s="67"/>
      <c r="BQ218" s="67"/>
      <c r="BR218" s="67"/>
      <c r="BS218" s="67"/>
      <c r="BT218" s="67"/>
      <c r="BU218" s="67"/>
    </row>
    <row r="219" ht="15.0"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c r="AV219" s="67"/>
      <c r="AW219" s="67"/>
      <c r="AX219" s="67"/>
      <c r="AY219" s="67"/>
      <c r="AZ219" s="67"/>
      <c r="BA219" s="67"/>
      <c r="BB219" s="67"/>
      <c r="BC219" s="67"/>
      <c r="BD219" s="67"/>
      <c r="BE219" s="67"/>
      <c r="BF219" s="67"/>
      <c r="BG219" s="67"/>
      <c r="BH219" s="67"/>
      <c r="BI219" s="67"/>
      <c r="BJ219" s="67"/>
      <c r="BK219" s="67"/>
      <c r="BL219" s="67"/>
      <c r="BM219" s="67"/>
      <c r="BN219" s="67"/>
      <c r="BO219" s="67"/>
      <c r="BP219" s="67"/>
      <c r="BQ219" s="67"/>
      <c r="BR219" s="67"/>
      <c r="BS219" s="67"/>
      <c r="BT219" s="67"/>
      <c r="BU219" s="67"/>
    </row>
    <row r="220" ht="15.0"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c r="AV220" s="67"/>
      <c r="AW220" s="67"/>
      <c r="AX220" s="67"/>
      <c r="AY220" s="67"/>
      <c r="AZ220" s="67"/>
      <c r="BA220" s="67"/>
      <c r="BB220" s="67"/>
      <c r="BC220" s="67"/>
      <c r="BD220" s="67"/>
      <c r="BE220" s="67"/>
      <c r="BF220" s="67"/>
      <c r="BG220" s="67"/>
      <c r="BH220" s="67"/>
      <c r="BI220" s="67"/>
      <c r="BJ220" s="67"/>
      <c r="BK220" s="67"/>
      <c r="BL220" s="67"/>
      <c r="BM220" s="67"/>
      <c r="BN220" s="67"/>
      <c r="BO220" s="67"/>
      <c r="BP220" s="67"/>
      <c r="BQ220" s="67"/>
      <c r="BR220" s="67"/>
      <c r="BS220" s="67"/>
      <c r="BT220" s="67"/>
      <c r="BU220" s="67"/>
    </row>
    <row r="221" ht="15.0"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c r="BJ221" s="67"/>
      <c r="BK221" s="67"/>
      <c r="BL221" s="67"/>
      <c r="BM221" s="67"/>
      <c r="BN221" s="67"/>
      <c r="BO221" s="67"/>
      <c r="BP221" s="67"/>
      <c r="BQ221" s="67"/>
      <c r="BR221" s="67"/>
      <c r="BS221" s="67"/>
      <c r="BT221" s="67"/>
      <c r="BU221" s="67"/>
    </row>
    <row r="222" ht="15.0"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c r="BJ222" s="67"/>
      <c r="BK222" s="67"/>
      <c r="BL222" s="67"/>
      <c r="BM222" s="67"/>
      <c r="BN222" s="67"/>
      <c r="BO222" s="67"/>
      <c r="BP222" s="67"/>
      <c r="BQ222" s="67"/>
      <c r="BR222" s="67"/>
      <c r="BS222" s="67"/>
      <c r="BT222" s="67"/>
      <c r="BU222" s="67"/>
    </row>
    <row r="223" ht="15.0"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c r="BO223" s="67"/>
      <c r="BP223" s="67"/>
      <c r="BQ223" s="67"/>
      <c r="BR223" s="67"/>
      <c r="BS223" s="67"/>
      <c r="BT223" s="67"/>
      <c r="BU223" s="67"/>
    </row>
    <row r="224" ht="15.0"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c r="BJ224" s="67"/>
      <c r="BK224" s="67"/>
      <c r="BL224" s="67"/>
      <c r="BM224" s="67"/>
      <c r="BN224" s="67"/>
      <c r="BO224" s="67"/>
      <c r="BP224" s="67"/>
      <c r="BQ224" s="67"/>
      <c r="BR224" s="67"/>
      <c r="BS224" s="67"/>
      <c r="BT224" s="67"/>
      <c r="BU224" s="67"/>
    </row>
    <row r="225" ht="15.0"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c r="BA225" s="67"/>
      <c r="BB225" s="67"/>
      <c r="BC225" s="67"/>
      <c r="BD225" s="67"/>
      <c r="BE225" s="67"/>
      <c r="BF225" s="67"/>
      <c r="BG225" s="67"/>
      <c r="BH225" s="67"/>
      <c r="BI225" s="67"/>
      <c r="BJ225" s="67"/>
      <c r="BK225" s="67"/>
      <c r="BL225" s="67"/>
      <c r="BM225" s="67"/>
      <c r="BN225" s="67"/>
      <c r="BO225" s="67"/>
      <c r="BP225" s="67"/>
      <c r="BQ225" s="67"/>
      <c r="BR225" s="67"/>
      <c r="BS225" s="67"/>
      <c r="BT225" s="67"/>
      <c r="BU225" s="67"/>
    </row>
    <row r="226" ht="15.0"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7"/>
      <c r="AR226" s="67"/>
      <c r="AS226" s="67"/>
      <c r="AT226" s="67"/>
      <c r="AU226" s="67"/>
      <c r="AV226" s="67"/>
      <c r="AW226" s="67"/>
      <c r="AX226" s="67"/>
      <c r="AY226" s="67"/>
      <c r="AZ226" s="67"/>
      <c r="BA226" s="67"/>
      <c r="BB226" s="67"/>
      <c r="BC226" s="67"/>
      <c r="BD226" s="67"/>
      <c r="BE226" s="67"/>
      <c r="BF226" s="67"/>
      <c r="BG226" s="67"/>
      <c r="BH226" s="67"/>
      <c r="BI226" s="67"/>
      <c r="BJ226" s="67"/>
      <c r="BK226" s="67"/>
      <c r="BL226" s="67"/>
      <c r="BM226" s="67"/>
      <c r="BN226" s="67"/>
      <c r="BO226" s="67"/>
      <c r="BP226" s="67"/>
      <c r="BQ226" s="67"/>
      <c r="BR226" s="67"/>
      <c r="BS226" s="67"/>
      <c r="BT226" s="67"/>
      <c r="BU226" s="67"/>
    </row>
    <row r="227" ht="15.75" customHeight="1">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10"/>
      <c r="X227" s="109"/>
      <c r="Y227" s="109"/>
      <c r="Z227" s="109"/>
      <c r="AA227" s="109"/>
      <c r="AB227" s="109"/>
      <c r="AC227" s="109"/>
      <c r="AD227" s="109"/>
      <c r="AE227" s="109"/>
      <c r="AF227" s="109"/>
      <c r="AG227" s="109"/>
      <c r="AH227" s="109"/>
      <c r="AI227" s="109"/>
      <c r="AJ227" s="109"/>
      <c r="AK227" s="109"/>
      <c r="AL227" s="109"/>
      <c r="AM227" s="109"/>
      <c r="AN227" s="109"/>
      <c r="AO227" s="109"/>
      <c r="AP227" s="109"/>
      <c r="AQ227" s="109"/>
      <c r="AR227" s="109"/>
      <c r="AS227" s="109"/>
      <c r="AT227" s="109"/>
      <c r="AU227" s="109"/>
      <c r="AV227" s="109"/>
      <c r="AW227" s="109"/>
      <c r="AX227" s="109"/>
      <c r="AY227" s="109"/>
      <c r="AZ227" s="109"/>
      <c r="BA227" s="109"/>
      <c r="BB227" s="109"/>
      <c r="BC227" s="109"/>
      <c r="BD227" s="109"/>
      <c r="BE227" s="109"/>
      <c r="BF227" s="109"/>
      <c r="BG227" s="109"/>
      <c r="BH227" s="109"/>
      <c r="BI227" s="109"/>
      <c r="BJ227" s="109"/>
      <c r="BK227" s="109"/>
      <c r="BL227" s="109"/>
      <c r="BM227" s="109"/>
      <c r="BN227" s="109"/>
      <c r="BO227" s="109"/>
      <c r="BP227" s="109"/>
      <c r="BQ227" s="109"/>
      <c r="BR227" s="109"/>
      <c r="BS227" s="109"/>
      <c r="BT227" s="109"/>
      <c r="BU227" s="109"/>
    </row>
    <row r="228" ht="15.75" customHeight="1">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10"/>
      <c r="X228" s="109"/>
      <c r="Y228" s="109"/>
      <c r="Z228" s="109"/>
      <c r="AA228" s="109"/>
      <c r="AB228" s="109"/>
      <c r="AC228" s="109"/>
      <c r="AD228" s="109"/>
      <c r="AE228" s="109"/>
      <c r="AF228" s="109"/>
      <c r="AG228" s="109"/>
      <c r="AH228" s="109"/>
      <c r="AI228" s="109"/>
      <c r="AJ228" s="109"/>
      <c r="AK228" s="109"/>
      <c r="AL228" s="109"/>
      <c r="AM228" s="109"/>
      <c r="AN228" s="109"/>
      <c r="AO228" s="109"/>
      <c r="AP228" s="109"/>
      <c r="AQ228" s="109"/>
      <c r="AR228" s="109"/>
      <c r="AS228" s="109"/>
      <c r="AT228" s="109"/>
      <c r="AU228" s="109"/>
      <c r="AV228" s="109"/>
      <c r="AW228" s="109"/>
      <c r="AX228" s="109"/>
      <c r="AY228" s="109"/>
      <c r="AZ228" s="109"/>
      <c r="BA228" s="109"/>
      <c r="BB228" s="109"/>
      <c r="BC228" s="109"/>
      <c r="BD228" s="109"/>
      <c r="BE228" s="109"/>
      <c r="BF228" s="109"/>
      <c r="BG228" s="109"/>
      <c r="BH228" s="109"/>
      <c r="BI228" s="109"/>
      <c r="BJ228" s="109"/>
      <c r="BK228" s="109"/>
      <c r="BL228" s="109"/>
      <c r="BM228" s="109"/>
      <c r="BN228" s="109"/>
      <c r="BO228" s="109"/>
      <c r="BP228" s="109"/>
      <c r="BQ228" s="109"/>
      <c r="BR228" s="109"/>
      <c r="BS228" s="109"/>
      <c r="BT228" s="109"/>
      <c r="BU228" s="109"/>
    </row>
    <row r="229" ht="15.75" customHeight="1">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10"/>
      <c r="X229" s="109"/>
      <c r="Y229" s="109"/>
      <c r="Z229" s="109"/>
      <c r="AA229" s="109"/>
      <c r="AB229" s="109"/>
      <c r="AC229" s="109"/>
      <c r="AD229" s="109"/>
      <c r="AE229" s="109"/>
      <c r="AF229" s="109"/>
      <c r="AG229" s="109"/>
      <c r="AH229" s="109"/>
      <c r="AI229" s="109"/>
      <c r="AJ229" s="109"/>
      <c r="AK229" s="109"/>
      <c r="AL229" s="109"/>
      <c r="AM229" s="109"/>
      <c r="AN229" s="109"/>
      <c r="AO229" s="109"/>
      <c r="AP229" s="109"/>
      <c r="AQ229" s="109"/>
      <c r="AR229" s="109"/>
      <c r="AS229" s="109"/>
      <c r="AT229" s="109"/>
      <c r="AU229" s="109"/>
      <c r="AV229" s="109"/>
      <c r="AW229" s="109"/>
      <c r="AX229" s="109"/>
      <c r="AY229" s="109"/>
      <c r="AZ229" s="109"/>
      <c r="BA229" s="109"/>
      <c r="BB229" s="109"/>
      <c r="BC229" s="109"/>
      <c r="BD229" s="109"/>
      <c r="BE229" s="109"/>
      <c r="BF229" s="109"/>
      <c r="BG229" s="109"/>
      <c r="BH229" s="109"/>
      <c r="BI229" s="109"/>
      <c r="BJ229" s="109"/>
      <c r="BK229" s="109"/>
      <c r="BL229" s="109"/>
      <c r="BM229" s="109"/>
      <c r="BN229" s="109"/>
      <c r="BO229" s="109"/>
      <c r="BP229" s="109"/>
      <c r="BQ229" s="109"/>
      <c r="BR229" s="109"/>
      <c r="BS229" s="109"/>
      <c r="BT229" s="109"/>
      <c r="BU229" s="109"/>
    </row>
    <row r="230" ht="15.75" customHeight="1">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10"/>
      <c r="X230" s="109"/>
      <c r="Y230" s="109"/>
      <c r="Z230" s="109"/>
      <c r="AA230" s="109"/>
      <c r="AB230" s="109"/>
      <c r="AC230" s="109"/>
      <c r="AD230" s="109"/>
      <c r="AE230" s="109"/>
      <c r="AF230" s="109"/>
      <c r="AG230" s="109"/>
      <c r="AH230" s="109"/>
      <c r="AI230" s="109"/>
      <c r="AJ230" s="109"/>
      <c r="AK230" s="109"/>
      <c r="AL230" s="109"/>
      <c r="AM230" s="109"/>
      <c r="AN230" s="109"/>
      <c r="AO230" s="109"/>
      <c r="AP230" s="109"/>
      <c r="AQ230" s="109"/>
      <c r="AR230" s="109"/>
      <c r="AS230" s="109"/>
      <c r="AT230" s="109"/>
      <c r="AU230" s="109"/>
      <c r="AV230" s="109"/>
      <c r="AW230" s="109"/>
      <c r="AX230" s="109"/>
      <c r="AY230" s="109"/>
      <c r="AZ230" s="109"/>
      <c r="BA230" s="109"/>
      <c r="BB230" s="109"/>
      <c r="BC230" s="109"/>
      <c r="BD230" s="109"/>
      <c r="BE230" s="109"/>
      <c r="BF230" s="109"/>
      <c r="BG230" s="109"/>
      <c r="BH230" s="109"/>
      <c r="BI230" s="109"/>
      <c r="BJ230" s="109"/>
      <c r="BK230" s="109"/>
      <c r="BL230" s="109"/>
      <c r="BM230" s="109"/>
      <c r="BN230" s="109"/>
      <c r="BO230" s="109"/>
      <c r="BP230" s="109"/>
      <c r="BQ230" s="109"/>
      <c r="BR230" s="109"/>
      <c r="BS230" s="109"/>
      <c r="BT230" s="109"/>
      <c r="BU230" s="109"/>
    </row>
    <row r="231" ht="15.75" customHeight="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10"/>
      <c r="X231" s="109"/>
      <c r="Y231" s="109"/>
      <c r="Z231" s="109"/>
      <c r="AA231" s="109"/>
      <c r="AB231" s="109"/>
      <c r="AC231" s="109"/>
      <c r="AD231" s="109"/>
      <c r="AE231" s="109"/>
      <c r="AF231" s="109"/>
      <c r="AG231" s="109"/>
      <c r="AH231" s="109"/>
      <c r="AI231" s="109"/>
      <c r="AJ231" s="109"/>
      <c r="AK231" s="109"/>
      <c r="AL231" s="109"/>
      <c r="AM231" s="109"/>
      <c r="AN231" s="109"/>
      <c r="AO231" s="109"/>
      <c r="AP231" s="109"/>
      <c r="AQ231" s="109"/>
      <c r="AR231" s="109"/>
      <c r="AS231" s="109"/>
      <c r="AT231" s="109"/>
      <c r="AU231" s="109"/>
      <c r="AV231" s="109"/>
      <c r="AW231" s="109"/>
      <c r="AX231" s="109"/>
      <c r="AY231" s="109"/>
      <c r="AZ231" s="109"/>
      <c r="BA231" s="109"/>
      <c r="BB231" s="109"/>
      <c r="BC231" s="109"/>
      <c r="BD231" s="109"/>
      <c r="BE231" s="109"/>
      <c r="BF231" s="109"/>
      <c r="BG231" s="109"/>
      <c r="BH231" s="109"/>
      <c r="BI231" s="109"/>
      <c r="BJ231" s="109"/>
      <c r="BK231" s="109"/>
      <c r="BL231" s="109"/>
      <c r="BM231" s="109"/>
      <c r="BN231" s="109"/>
      <c r="BO231" s="109"/>
      <c r="BP231" s="109"/>
      <c r="BQ231" s="109"/>
      <c r="BR231" s="109"/>
      <c r="BS231" s="109"/>
      <c r="BT231" s="109"/>
      <c r="BU231" s="109"/>
    </row>
    <row r="232" ht="15.75" customHeight="1">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10"/>
      <c r="X232" s="109"/>
      <c r="Y232" s="109"/>
      <c r="Z232" s="109"/>
      <c r="AA232" s="109"/>
      <c r="AB232" s="109"/>
      <c r="AC232" s="109"/>
      <c r="AD232" s="109"/>
      <c r="AE232" s="109"/>
      <c r="AF232" s="109"/>
      <c r="AG232" s="109"/>
      <c r="AH232" s="109"/>
      <c r="AI232" s="109"/>
      <c r="AJ232" s="109"/>
      <c r="AK232" s="109"/>
      <c r="AL232" s="109"/>
      <c r="AM232" s="109"/>
      <c r="AN232" s="109"/>
      <c r="AO232" s="109"/>
      <c r="AP232" s="109"/>
      <c r="AQ232" s="109"/>
      <c r="AR232" s="109"/>
      <c r="AS232" s="109"/>
      <c r="AT232" s="109"/>
      <c r="AU232" s="109"/>
      <c r="AV232" s="109"/>
      <c r="AW232" s="109"/>
      <c r="AX232" s="109"/>
      <c r="AY232" s="109"/>
      <c r="AZ232" s="109"/>
      <c r="BA232" s="109"/>
      <c r="BB232" s="109"/>
      <c r="BC232" s="109"/>
      <c r="BD232" s="109"/>
      <c r="BE232" s="109"/>
      <c r="BF232" s="109"/>
      <c r="BG232" s="109"/>
      <c r="BH232" s="109"/>
      <c r="BI232" s="109"/>
      <c r="BJ232" s="109"/>
      <c r="BK232" s="109"/>
      <c r="BL232" s="109"/>
      <c r="BM232" s="109"/>
      <c r="BN232" s="109"/>
      <c r="BO232" s="109"/>
      <c r="BP232" s="109"/>
      <c r="BQ232" s="109"/>
      <c r="BR232" s="109"/>
      <c r="BS232" s="109"/>
      <c r="BT232" s="109"/>
      <c r="BU232" s="109"/>
    </row>
    <row r="233" ht="15.75" customHeight="1">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10"/>
      <c r="X233" s="109"/>
      <c r="Y233" s="109"/>
      <c r="Z233" s="109"/>
      <c r="AA233" s="109"/>
      <c r="AB233" s="109"/>
      <c r="AC233" s="109"/>
      <c r="AD233" s="109"/>
      <c r="AE233" s="109"/>
      <c r="AF233" s="109"/>
      <c r="AG233" s="109"/>
      <c r="AH233" s="109"/>
      <c r="AI233" s="109"/>
      <c r="AJ233" s="109"/>
      <c r="AK233" s="109"/>
      <c r="AL233" s="109"/>
      <c r="AM233" s="109"/>
      <c r="AN233" s="109"/>
      <c r="AO233" s="109"/>
      <c r="AP233" s="109"/>
      <c r="AQ233" s="109"/>
      <c r="AR233" s="109"/>
      <c r="AS233" s="109"/>
      <c r="AT233" s="109"/>
      <c r="AU233" s="109"/>
      <c r="AV233" s="109"/>
      <c r="AW233" s="109"/>
      <c r="AX233" s="109"/>
      <c r="AY233" s="109"/>
      <c r="AZ233" s="109"/>
      <c r="BA233" s="109"/>
      <c r="BB233" s="109"/>
      <c r="BC233" s="109"/>
      <c r="BD233" s="109"/>
      <c r="BE233" s="109"/>
      <c r="BF233" s="109"/>
      <c r="BG233" s="109"/>
      <c r="BH233" s="109"/>
      <c r="BI233" s="109"/>
      <c r="BJ233" s="109"/>
      <c r="BK233" s="109"/>
      <c r="BL233" s="109"/>
      <c r="BM233" s="109"/>
      <c r="BN233" s="109"/>
      <c r="BO233" s="109"/>
      <c r="BP233" s="109"/>
      <c r="BQ233" s="109"/>
      <c r="BR233" s="109"/>
      <c r="BS233" s="109"/>
      <c r="BT233" s="109"/>
      <c r="BU233" s="109"/>
    </row>
    <row r="234" ht="15.75" customHeight="1">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10"/>
      <c r="X234" s="109"/>
      <c r="Y234" s="109"/>
      <c r="Z234" s="109"/>
      <c r="AA234" s="109"/>
      <c r="AB234" s="109"/>
      <c r="AC234" s="109"/>
      <c r="AD234" s="109"/>
      <c r="AE234" s="109"/>
      <c r="AF234" s="109"/>
      <c r="AG234" s="109"/>
      <c r="AH234" s="109"/>
      <c r="AI234" s="109"/>
      <c r="AJ234" s="109"/>
      <c r="AK234" s="109"/>
      <c r="AL234" s="109"/>
      <c r="AM234" s="109"/>
      <c r="AN234" s="109"/>
      <c r="AO234" s="109"/>
      <c r="AP234" s="109"/>
      <c r="AQ234" s="109"/>
      <c r="AR234" s="109"/>
      <c r="AS234" s="109"/>
      <c r="AT234" s="109"/>
      <c r="AU234" s="109"/>
      <c r="AV234" s="109"/>
      <c r="AW234" s="109"/>
      <c r="AX234" s="109"/>
      <c r="AY234" s="109"/>
      <c r="AZ234" s="109"/>
      <c r="BA234" s="109"/>
      <c r="BB234" s="109"/>
      <c r="BC234" s="109"/>
      <c r="BD234" s="109"/>
      <c r="BE234" s="109"/>
      <c r="BF234" s="109"/>
      <c r="BG234" s="109"/>
      <c r="BH234" s="109"/>
      <c r="BI234" s="109"/>
      <c r="BJ234" s="109"/>
      <c r="BK234" s="109"/>
      <c r="BL234" s="109"/>
      <c r="BM234" s="109"/>
      <c r="BN234" s="109"/>
      <c r="BO234" s="109"/>
      <c r="BP234" s="109"/>
      <c r="BQ234" s="109"/>
      <c r="BR234" s="109"/>
      <c r="BS234" s="109"/>
      <c r="BT234" s="109"/>
      <c r="BU234" s="109"/>
    </row>
    <row r="235" ht="15.75" customHeight="1">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10"/>
      <c r="X235" s="109"/>
      <c r="Y235" s="109"/>
      <c r="Z235" s="109"/>
      <c r="AA235" s="109"/>
      <c r="AB235" s="109"/>
      <c r="AC235" s="109"/>
      <c r="AD235" s="109"/>
      <c r="AE235" s="109"/>
      <c r="AF235" s="109"/>
      <c r="AG235" s="109"/>
      <c r="AH235" s="109"/>
      <c r="AI235" s="109"/>
      <c r="AJ235" s="109"/>
      <c r="AK235" s="109"/>
      <c r="AL235" s="109"/>
      <c r="AM235" s="109"/>
      <c r="AN235" s="109"/>
      <c r="AO235" s="109"/>
      <c r="AP235" s="109"/>
      <c r="AQ235" s="109"/>
      <c r="AR235" s="109"/>
      <c r="AS235" s="109"/>
      <c r="AT235" s="109"/>
      <c r="AU235" s="109"/>
      <c r="AV235" s="109"/>
      <c r="AW235" s="109"/>
      <c r="AX235" s="109"/>
      <c r="AY235" s="109"/>
      <c r="AZ235" s="109"/>
      <c r="BA235" s="109"/>
      <c r="BB235" s="109"/>
      <c r="BC235" s="109"/>
      <c r="BD235" s="109"/>
      <c r="BE235" s="109"/>
      <c r="BF235" s="109"/>
      <c r="BG235" s="109"/>
      <c r="BH235" s="109"/>
      <c r="BI235" s="109"/>
      <c r="BJ235" s="109"/>
      <c r="BK235" s="109"/>
      <c r="BL235" s="109"/>
      <c r="BM235" s="109"/>
      <c r="BN235" s="109"/>
      <c r="BO235" s="109"/>
      <c r="BP235" s="109"/>
      <c r="BQ235" s="109"/>
      <c r="BR235" s="109"/>
      <c r="BS235" s="109"/>
      <c r="BT235" s="109"/>
      <c r="BU235" s="109"/>
    </row>
    <row r="236" ht="15.75" customHeight="1">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10"/>
      <c r="X236" s="109"/>
      <c r="Y236" s="109"/>
      <c r="Z236" s="109"/>
      <c r="AA236" s="109"/>
      <c r="AB236" s="109"/>
      <c r="AC236" s="109"/>
      <c r="AD236" s="109"/>
      <c r="AE236" s="109"/>
      <c r="AF236" s="109"/>
      <c r="AG236" s="109"/>
      <c r="AH236" s="109"/>
      <c r="AI236" s="109"/>
      <c r="AJ236" s="109"/>
      <c r="AK236" s="109"/>
      <c r="AL236" s="109"/>
      <c r="AM236" s="109"/>
      <c r="AN236" s="109"/>
      <c r="AO236" s="109"/>
      <c r="AP236" s="109"/>
      <c r="AQ236" s="109"/>
      <c r="AR236" s="109"/>
      <c r="AS236" s="109"/>
      <c r="AT236" s="109"/>
      <c r="AU236" s="109"/>
      <c r="AV236" s="109"/>
      <c r="AW236" s="109"/>
      <c r="AX236" s="109"/>
      <c r="AY236" s="109"/>
      <c r="AZ236" s="109"/>
      <c r="BA236" s="109"/>
      <c r="BB236" s="109"/>
      <c r="BC236" s="109"/>
      <c r="BD236" s="109"/>
      <c r="BE236" s="109"/>
      <c r="BF236" s="109"/>
      <c r="BG236" s="109"/>
      <c r="BH236" s="109"/>
      <c r="BI236" s="109"/>
      <c r="BJ236" s="109"/>
      <c r="BK236" s="109"/>
      <c r="BL236" s="109"/>
      <c r="BM236" s="109"/>
      <c r="BN236" s="109"/>
      <c r="BO236" s="109"/>
      <c r="BP236" s="109"/>
      <c r="BQ236" s="109"/>
      <c r="BR236" s="109"/>
      <c r="BS236" s="109"/>
      <c r="BT236" s="109"/>
      <c r="BU236" s="109"/>
    </row>
    <row r="237" ht="15.75" customHeight="1">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10"/>
      <c r="X237" s="109"/>
      <c r="Y237" s="109"/>
      <c r="Z237" s="109"/>
      <c r="AA237" s="109"/>
      <c r="AB237" s="109"/>
      <c r="AC237" s="109"/>
      <c r="AD237" s="109"/>
      <c r="AE237" s="109"/>
      <c r="AF237" s="109"/>
      <c r="AG237" s="109"/>
      <c r="AH237" s="109"/>
      <c r="AI237" s="109"/>
      <c r="AJ237" s="109"/>
      <c r="AK237" s="109"/>
      <c r="AL237" s="109"/>
      <c r="AM237" s="109"/>
      <c r="AN237" s="109"/>
      <c r="AO237" s="109"/>
      <c r="AP237" s="109"/>
      <c r="AQ237" s="109"/>
      <c r="AR237" s="109"/>
      <c r="AS237" s="109"/>
      <c r="AT237" s="109"/>
      <c r="AU237" s="109"/>
      <c r="AV237" s="109"/>
      <c r="AW237" s="109"/>
      <c r="AX237" s="109"/>
      <c r="AY237" s="109"/>
      <c r="AZ237" s="109"/>
      <c r="BA237" s="109"/>
      <c r="BB237" s="109"/>
      <c r="BC237" s="109"/>
      <c r="BD237" s="109"/>
      <c r="BE237" s="109"/>
      <c r="BF237" s="109"/>
      <c r="BG237" s="109"/>
      <c r="BH237" s="109"/>
      <c r="BI237" s="109"/>
      <c r="BJ237" s="109"/>
      <c r="BK237" s="109"/>
      <c r="BL237" s="109"/>
      <c r="BM237" s="109"/>
      <c r="BN237" s="109"/>
      <c r="BO237" s="109"/>
      <c r="BP237" s="109"/>
      <c r="BQ237" s="109"/>
      <c r="BR237" s="109"/>
      <c r="BS237" s="109"/>
      <c r="BT237" s="109"/>
      <c r="BU237" s="109"/>
    </row>
    <row r="238" ht="15.75" customHeight="1">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10"/>
      <c r="X238" s="109"/>
      <c r="Y238" s="109"/>
      <c r="Z238" s="109"/>
      <c r="AA238" s="109"/>
      <c r="AB238" s="109"/>
      <c r="AC238" s="109"/>
      <c r="AD238" s="109"/>
      <c r="AE238" s="109"/>
      <c r="AF238" s="109"/>
      <c r="AG238" s="109"/>
      <c r="AH238" s="109"/>
      <c r="AI238" s="109"/>
      <c r="AJ238" s="109"/>
      <c r="AK238" s="109"/>
      <c r="AL238" s="109"/>
      <c r="AM238" s="109"/>
      <c r="AN238" s="109"/>
      <c r="AO238" s="109"/>
      <c r="AP238" s="109"/>
      <c r="AQ238" s="109"/>
      <c r="AR238" s="109"/>
      <c r="AS238" s="109"/>
      <c r="AT238" s="109"/>
      <c r="AU238" s="109"/>
      <c r="AV238" s="109"/>
      <c r="AW238" s="109"/>
      <c r="AX238" s="109"/>
      <c r="AY238" s="109"/>
      <c r="AZ238" s="109"/>
      <c r="BA238" s="109"/>
      <c r="BB238" s="109"/>
      <c r="BC238" s="109"/>
      <c r="BD238" s="109"/>
      <c r="BE238" s="109"/>
      <c r="BF238" s="109"/>
      <c r="BG238" s="109"/>
      <c r="BH238" s="109"/>
      <c r="BI238" s="109"/>
      <c r="BJ238" s="109"/>
      <c r="BK238" s="109"/>
      <c r="BL238" s="109"/>
      <c r="BM238" s="109"/>
      <c r="BN238" s="109"/>
      <c r="BO238" s="109"/>
      <c r="BP238" s="109"/>
      <c r="BQ238" s="109"/>
      <c r="BR238" s="109"/>
      <c r="BS238" s="109"/>
      <c r="BT238" s="109"/>
      <c r="BU238" s="109"/>
    </row>
    <row r="239" ht="15.75" customHeight="1">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10"/>
      <c r="X239" s="109"/>
      <c r="Y239" s="109"/>
      <c r="Z239" s="109"/>
      <c r="AA239" s="109"/>
      <c r="AB239" s="109"/>
      <c r="AC239" s="109"/>
      <c r="AD239" s="109"/>
      <c r="AE239" s="109"/>
      <c r="AF239" s="109"/>
      <c r="AG239" s="109"/>
      <c r="AH239" s="109"/>
      <c r="AI239" s="109"/>
      <c r="AJ239" s="109"/>
      <c r="AK239" s="109"/>
      <c r="AL239" s="109"/>
      <c r="AM239" s="109"/>
      <c r="AN239" s="109"/>
      <c r="AO239" s="109"/>
      <c r="AP239" s="109"/>
      <c r="AQ239" s="109"/>
      <c r="AR239" s="109"/>
      <c r="AS239" s="109"/>
      <c r="AT239" s="109"/>
      <c r="AU239" s="109"/>
      <c r="AV239" s="109"/>
      <c r="AW239" s="109"/>
      <c r="AX239" s="109"/>
      <c r="AY239" s="109"/>
      <c r="AZ239" s="109"/>
      <c r="BA239" s="109"/>
      <c r="BB239" s="109"/>
      <c r="BC239" s="109"/>
      <c r="BD239" s="109"/>
      <c r="BE239" s="109"/>
      <c r="BF239" s="109"/>
      <c r="BG239" s="109"/>
      <c r="BH239" s="109"/>
      <c r="BI239" s="109"/>
      <c r="BJ239" s="109"/>
      <c r="BK239" s="109"/>
      <c r="BL239" s="109"/>
      <c r="BM239" s="109"/>
      <c r="BN239" s="109"/>
      <c r="BO239" s="109"/>
      <c r="BP239" s="109"/>
      <c r="BQ239" s="109"/>
      <c r="BR239" s="109"/>
      <c r="BS239" s="109"/>
      <c r="BT239" s="109"/>
      <c r="BU239" s="109"/>
    </row>
    <row r="240" ht="15.75" customHeight="1">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10"/>
      <c r="X240" s="109"/>
      <c r="Y240" s="109"/>
      <c r="Z240" s="109"/>
      <c r="AA240" s="109"/>
      <c r="AB240" s="109"/>
      <c r="AC240" s="109"/>
      <c r="AD240" s="109"/>
      <c r="AE240" s="109"/>
      <c r="AF240" s="109"/>
      <c r="AG240" s="109"/>
      <c r="AH240" s="109"/>
      <c r="AI240" s="109"/>
      <c r="AJ240" s="109"/>
      <c r="AK240" s="109"/>
      <c r="AL240" s="109"/>
      <c r="AM240" s="109"/>
      <c r="AN240" s="109"/>
      <c r="AO240" s="109"/>
      <c r="AP240" s="109"/>
      <c r="AQ240" s="109"/>
      <c r="AR240" s="109"/>
      <c r="AS240" s="109"/>
      <c r="AT240" s="109"/>
      <c r="AU240" s="109"/>
      <c r="AV240" s="109"/>
      <c r="AW240" s="109"/>
      <c r="AX240" s="109"/>
      <c r="AY240" s="109"/>
      <c r="AZ240" s="109"/>
      <c r="BA240" s="109"/>
      <c r="BB240" s="109"/>
      <c r="BC240" s="109"/>
      <c r="BD240" s="109"/>
      <c r="BE240" s="109"/>
      <c r="BF240" s="109"/>
      <c r="BG240" s="109"/>
      <c r="BH240" s="109"/>
      <c r="BI240" s="109"/>
      <c r="BJ240" s="109"/>
      <c r="BK240" s="109"/>
      <c r="BL240" s="109"/>
      <c r="BM240" s="109"/>
      <c r="BN240" s="109"/>
      <c r="BO240" s="109"/>
      <c r="BP240" s="109"/>
      <c r="BQ240" s="109"/>
      <c r="BR240" s="109"/>
      <c r="BS240" s="109"/>
      <c r="BT240" s="109"/>
      <c r="BU240" s="109"/>
    </row>
    <row r="241" ht="15.75" customHeight="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10"/>
      <c r="X241" s="109"/>
      <c r="Y241" s="109"/>
      <c r="Z241" s="109"/>
      <c r="AA241" s="109"/>
      <c r="AB241" s="109"/>
      <c r="AC241" s="109"/>
      <c r="AD241" s="109"/>
      <c r="AE241" s="109"/>
      <c r="AF241" s="109"/>
      <c r="AG241" s="109"/>
      <c r="AH241" s="109"/>
      <c r="AI241" s="109"/>
      <c r="AJ241" s="109"/>
      <c r="AK241" s="109"/>
      <c r="AL241" s="109"/>
      <c r="AM241" s="109"/>
      <c r="AN241" s="109"/>
      <c r="AO241" s="109"/>
      <c r="AP241" s="109"/>
      <c r="AQ241" s="109"/>
      <c r="AR241" s="109"/>
      <c r="AS241" s="109"/>
      <c r="AT241" s="109"/>
      <c r="AU241" s="109"/>
      <c r="AV241" s="109"/>
      <c r="AW241" s="109"/>
      <c r="AX241" s="109"/>
      <c r="AY241" s="109"/>
      <c r="AZ241" s="109"/>
      <c r="BA241" s="109"/>
      <c r="BB241" s="109"/>
      <c r="BC241" s="109"/>
      <c r="BD241" s="109"/>
      <c r="BE241" s="109"/>
      <c r="BF241" s="109"/>
      <c r="BG241" s="109"/>
      <c r="BH241" s="109"/>
      <c r="BI241" s="109"/>
      <c r="BJ241" s="109"/>
      <c r="BK241" s="109"/>
      <c r="BL241" s="109"/>
      <c r="BM241" s="109"/>
      <c r="BN241" s="109"/>
      <c r="BO241" s="109"/>
      <c r="BP241" s="109"/>
      <c r="BQ241" s="109"/>
      <c r="BR241" s="109"/>
      <c r="BS241" s="109"/>
      <c r="BT241" s="109"/>
      <c r="BU241" s="109"/>
    </row>
    <row r="242" ht="15.75" customHeight="1">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10"/>
      <c r="X242" s="109"/>
      <c r="Y242" s="109"/>
      <c r="Z242" s="109"/>
      <c r="AA242" s="109"/>
      <c r="AB242" s="109"/>
      <c r="AC242" s="109"/>
      <c r="AD242" s="109"/>
      <c r="AE242" s="109"/>
      <c r="AF242" s="109"/>
      <c r="AG242" s="109"/>
      <c r="AH242" s="109"/>
      <c r="AI242" s="109"/>
      <c r="AJ242" s="109"/>
      <c r="AK242" s="109"/>
      <c r="AL242" s="109"/>
      <c r="AM242" s="109"/>
      <c r="AN242" s="109"/>
      <c r="AO242" s="109"/>
      <c r="AP242" s="109"/>
      <c r="AQ242" s="109"/>
      <c r="AR242" s="109"/>
      <c r="AS242" s="109"/>
      <c r="AT242" s="109"/>
      <c r="AU242" s="109"/>
      <c r="AV242" s="109"/>
      <c r="AW242" s="109"/>
      <c r="AX242" s="109"/>
      <c r="AY242" s="109"/>
      <c r="AZ242" s="109"/>
      <c r="BA242" s="109"/>
      <c r="BB242" s="109"/>
      <c r="BC242" s="109"/>
      <c r="BD242" s="109"/>
      <c r="BE242" s="109"/>
      <c r="BF242" s="109"/>
      <c r="BG242" s="109"/>
      <c r="BH242" s="109"/>
      <c r="BI242" s="109"/>
      <c r="BJ242" s="109"/>
      <c r="BK242" s="109"/>
      <c r="BL242" s="109"/>
      <c r="BM242" s="109"/>
      <c r="BN242" s="109"/>
      <c r="BO242" s="109"/>
      <c r="BP242" s="109"/>
      <c r="BQ242" s="109"/>
      <c r="BR242" s="109"/>
      <c r="BS242" s="109"/>
      <c r="BT242" s="109"/>
      <c r="BU242" s="109"/>
    </row>
    <row r="243" ht="15.75" customHeight="1">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10"/>
      <c r="X243" s="109"/>
      <c r="Y243" s="109"/>
      <c r="Z243" s="109"/>
      <c r="AA243" s="109"/>
      <c r="AB243" s="109"/>
      <c r="AC243" s="109"/>
      <c r="AD243" s="109"/>
      <c r="AE243" s="109"/>
      <c r="AF243" s="109"/>
      <c r="AG243" s="109"/>
      <c r="AH243" s="109"/>
      <c r="AI243" s="109"/>
      <c r="AJ243" s="109"/>
      <c r="AK243" s="109"/>
      <c r="AL243" s="109"/>
      <c r="AM243" s="109"/>
      <c r="AN243" s="109"/>
      <c r="AO243" s="109"/>
      <c r="AP243" s="109"/>
      <c r="AQ243" s="109"/>
      <c r="AR243" s="109"/>
      <c r="AS243" s="109"/>
      <c r="AT243" s="109"/>
      <c r="AU243" s="109"/>
      <c r="AV243" s="109"/>
      <c r="AW243" s="109"/>
      <c r="AX243" s="109"/>
      <c r="AY243" s="109"/>
      <c r="AZ243" s="109"/>
      <c r="BA243" s="109"/>
      <c r="BB243" s="109"/>
      <c r="BC243" s="109"/>
      <c r="BD243" s="109"/>
      <c r="BE243" s="109"/>
      <c r="BF243" s="109"/>
      <c r="BG243" s="109"/>
      <c r="BH243" s="109"/>
      <c r="BI243" s="109"/>
      <c r="BJ243" s="109"/>
      <c r="BK243" s="109"/>
      <c r="BL243" s="109"/>
      <c r="BM243" s="109"/>
      <c r="BN243" s="109"/>
      <c r="BO243" s="109"/>
      <c r="BP243" s="109"/>
      <c r="BQ243" s="109"/>
      <c r="BR243" s="109"/>
      <c r="BS243" s="109"/>
      <c r="BT243" s="109"/>
      <c r="BU243" s="109"/>
    </row>
    <row r="244" ht="15.75" customHeight="1">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10"/>
      <c r="X244" s="109"/>
      <c r="Y244" s="109"/>
      <c r="Z244" s="109"/>
      <c r="AA244" s="109"/>
      <c r="AB244" s="109"/>
      <c r="AC244" s="109"/>
      <c r="AD244" s="109"/>
      <c r="AE244" s="109"/>
      <c r="AF244" s="109"/>
      <c r="AG244" s="109"/>
      <c r="AH244" s="109"/>
      <c r="AI244" s="109"/>
      <c r="AJ244" s="109"/>
      <c r="AK244" s="109"/>
      <c r="AL244" s="109"/>
      <c r="AM244" s="109"/>
      <c r="AN244" s="109"/>
      <c r="AO244" s="109"/>
      <c r="AP244" s="109"/>
      <c r="AQ244" s="109"/>
      <c r="AR244" s="109"/>
      <c r="AS244" s="109"/>
      <c r="AT244" s="109"/>
      <c r="AU244" s="109"/>
      <c r="AV244" s="109"/>
      <c r="AW244" s="109"/>
      <c r="AX244" s="109"/>
      <c r="AY244" s="109"/>
      <c r="AZ244" s="109"/>
      <c r="BA244" s="109"/>
      <c r="BB244" s="109"/>
      <c r="BC244" s="109"/>
      <c r="BD244" s="109"/>
      <c r="BE244" s="109"/>
      <c r="BF244" s="109"/>
      <c r="BG244" s="109"/>
      <c r="BH244" s="109"/>
      <c r="BI244" s="109"/>
      <c r="BJ244" s="109"/>
      <c r="BK244" s="109"/>
      <c r="BL244" s="109"/>
      <c r="BM244" s="109"/>
      <c r="BN244" s="109"/>
      <c r="BO244" s="109"/>
      <c r="BP244" s="109"/>
      <c r="BQ244" s="109"/>
      <c r="BR244" s="109"/>
      <c r="BS244" s="109"/>
      <c r="BT244" s="109"/>
      <c r="BU244" s="109"/>
    </row>
    <row r="245" ht="15.75" customHeight="1">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10"/>
      <c r="X245" s="109"/>
      <c r="Y245" s="109"/>
      <c r="Z245" s="109"/>
      <c r="AA245" s="109"/>
      <c r="AB245" s="109"/>
      <c r="AC245" s="109"/>
      <c r="AD245" s="109"/>
      <c r="AE245" s="109"/>
      <c r="AF245" s="109"/>
      <c r="AG245" s="109"/>
      <c r="AH245" s="109"/>
      <c r="AI245" s="109"/>
      <c r="AJ245" s="109"/>
      <c r="AK245" s="109"/>
      <c r="AL245" s="109"/>
      <c r="AM245" s="109"/>
      <c r="AN245" s="109"/>
      <c r="AO245" s="109"/>
      <c r="AP245" s="109"/>
      <c r="AQ245" s="109"/>
      <c r="AR245" s="109"/>
      <c r="AS245" s="109"/>
      <c r="AT245" s="109"/>
      <c r="AU245" s="109"/>
      <c r="AV245" s="109"/>
      <c r="AW245" s="109"/>
      <c r="AX245" s="109"/>
      <c r="AY245" s="109"/>
      <c r="AZ245" s="109"/>
      <c r="BA245" s="109"/>
      <c r="BB245" s="109"/>
      <c r="BC245" s="109"/>
      <c r="BD245" s="109"/>
      <c r="BE245" s="109"/>
      <c r="BF245" s="109"/>
      <c r="BG245" s="109"/>
      <c r="BH245" s="109"/>
      <c r="BI245" s="109"/>
      <c r="BJ245" s="109"/>
      <c r="BK245" s="109"/>
      <c r="BL245" s="109"/>
      <c r="BM245" s="109"/>
      <c r="BN245" s="109"/>
      <c r="BO245" s="109"/>
      <c r="BP245" s="109"/>
      <c r="BQ245" s="109"/>
      <c r="BR245" s="109"/>
      <c r="BS245" s="109"/>
      <c r="BT245" s="109"/>
      <c r="BU245" s="109"/>
    </row>
    <row r="246" ht="15.75" customHeight="1">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10"/>
      <c r="X246" s="109"/>
      <c r="Y246" s="109"/>
      <c r="Z246" s="109"/>
      <c r="AA246" s="109"/>
      <c r="AB246" s="109"/>
      <c r="AC246" s="109"/>
      <c r="AD246" s="109"/>
      <c r="AE246" s="109"/>
      <c r="AF246" s="109"/>
      <c r="AG246" s="109"/>
      <c r="AH246" s="109"/>
      <c r="AI246" s="109"/>
      <c r="AJ246" s="109"/>
      <c r="AK246" s="109"/>
      <c r="AL246" s="109"/>
      <c r="AM246" s="109"/>
      <c r="AN246" s="109"/>
      <c r="AO246" s="109"/>
      <c r="AP246" s="109"/>
      <c r="AQ246" s="109"/>
      <c r="AR246" s="109"/>
      <c r="AS246" s="109"/>
      <c r="AT246" s="109"/>
      <c r="AU246" s="109"/>
      <c r="AV246" s="109"/>
      <c r="AW246" s="109"/>
      <c r="AX246" s="109"/>
      <c r="AY246" s="109"/>
      <c r="AZ246" s="109"/>
      <c r="BA246" s="109"/>
      <c r="BB246" s="109"/>
      <c r="BC246" s="109"/>
      <c r="BD246" s="109"/>
      <c r="BE246" s="109"/>
      <c r="BF246" s="109"/>
      <c r="BG246" s="109"/>
      <c r="BH246" s="109"/>
      <c r="BI246" s="109"/>
      <c r="BJ246" s="109"/>
      <c r="BK246" s="109"/>
      <c r="BL246" s="109"/>
      <c r="BM246" s="109"/>
      <c r="BN246" s="109"/>
      <c r="BO246" s="109"/>
      <c r="BP246" s="109"/>
      <c r="BQ246" s="109"/>
      <c r="BR246" s="109"/>
      <c r="BS246" s="109"/>
      <c r="BT246" s="109"/>
      <c r="BU246" s="109"/>
    </row>
    <row r="247" ht="15.75" customHeight="1">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10"/>
      <c r="X247" s="109"/>
      <c r="Y247" s="109"/>
      <c r="Z247" s="109"/>
      <c r="AA247" s="109"/>
      <c r="AB247" s="109"/>
      <c r="AC247" s="109"/>
      <c r="AD247" s="109"/>
      <c r="AE247" s="109"/>
      <c r="AF247" s="109"/>
      <c r="AG247" s="109"/>
      <c r="AH247" s="109"/>
      <c r="AI247" s="109"/>
      <c r="AJ247" s="109"/>
      <c r="AK247" s="109"/>
      <c r="AL247" s="109"/>
      <c r="AM247" s="109"/>
      <c r="AN247" s="109"/>
      <c r="AO247" s="109"/>
      <c r="AP247" s="109"/>
      <c r="AQ247" s="109"/>
      <c r="AR247" s="109"/>
      <c r="AS247" s="109"/>
      <c r="AT247" s="109"/>
      <c r="AU247" s="109"/>
      <c r="AV247" s="109"/>
      <c r="AW247" s="109"/>
      <c r="AX247" s="109"/>
      <c r="AY247" s="109"/>
      <c r="AZ247" s="109"/>
      <c r="BA247" s="109"/>
      <c r="BB247" s="109"/>
      <c r="BC247" s="109"/>
      <c r="BD247" s="109"/>
      <c r="BE247" s="109"/>
      <c r="BF247" s="109"/>
      <c r="BG247" s="109"/>
      <c r="BH247" s="109"/>
      <c r="BI247" s="109"/>
      <c r="BJ247" s="109"/>
      <c r="BK247" s="109"/>
      <c r="BL247" s="109"/>
      <c r="BM247" s="109"/>
      <c r="BN247" s="109"/>
      <c r="BO247" s="109"/>
      <c r="BP247" s="109"/>
      <c r="BQ247" s="109"/>
      <c r="BR247" s="109"/>
      <c r="BS247" s="109"/>
      <c r="BT247" s="109"/>
      <c r="BU247" s="109"/>
    </row>
    <row r="248" ht="15.75" customHeight="1">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10"/>
      <c r="X248" s="109"/>
      <c r="Y248" s="109"/>
      <c r="Z248" s="109"/>
      <c r="AA248" s="109"/>
      <c r="AB248" s="109"/>
      <c r="AC248" s="109"/>
      <c r="AD248" s="109"/>
      <c r="AE248" s="109"/>
      <c r="AF248" s="109"/>
      <c r="AG248" s="109"/>
      <c r="AH248" s="109"/>
      <c r="AI248" s="109"/>
      <c r="AJ248" s="109"/>
      <c r="AK248" s="109"/>
      <c r="AL248" s="109"/>
      <c r="AM248" s="109"/>
      <c r="AN248" s="109"/>
      <c r="AO248" s="109"/>
      <c r="AP248" s="109"/>
      <c r="AQ248" s="109"/>
      <c r="AR248" s="109"/>
      <c r="AS248" s="109"/>
      <c r="AT248" s="109"/>
      <c r="AU248" s="109"/>
      <c r="AV248" s="109"/>
      <c r="AW248" s="109"/>
      <c r="AX248" s="109"/>
      <c r="AY248" s="109"/>
      <c r="AZ248" s="109"/>
      <c r="BA248" s="109"/>
      <c r="BB248" s="109"/>
      <c r="BC248" s="109"/>
      <c r="BD248" s="109"/>
      <c r="BE248" s="109"/>
      <c r="BF248" s="109"/>
      <c r="BG248" s="109"/>
      <c r="BH248" s="109"/>
      <c r="BI248" s="109"/>
      <c r="BJ248" s="109"/>
      <c r="BK248" s="109"/>
      <c r="BL248" s="109"/>
      <c r="BM248" s="109"/>
      <c r="BN248" s="109"/>
      <c r="BO248" s="109"/>
      <c r="BP248" s="109"/>
      <c r="BQ248" s="109"/>
      <c r="BR248" s="109"/>
      <c r="BS248" s="109"/>
      <c r="BT248" s="109"/>
      <c r="BU248" s="109"/>
    </row>
    <row r="249" ht="15.75" customHeight="1">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10"/>
      <c r="X249" s="109"/>
      <c r="Y249" s="109"/>
      <c r="Z249" s="109"/>
      <c r="AA249" s="109"/>
      <c r="AB249" s="109"/>
      <c r="AC249" s="109"/>
      <c r="AD249" s="109"/>
      <c r="AE249" s="109"/>
      <c r="AF249" s="109"/>
      <c r="AG249" s="109"/>
      <c r="AH249" s="109"/>
      <c r="AI249" s="109"/>
      <c r="AJ249" s="109"/>
      <c r="AK249" s="109"/>
      <c r="AL249" s="109"/>
      <c r="AM249" s="109"/>
      <c r="AN249" s="109"/>
      <c r="AO249" s="109"/>
      <c r="AP249" s="109"/>
      <c r="AQ249" s="109"/>
      <c r="AR249" s="109"/>
      <c r="AS249" s="109"/>
      <c r="AT249" s="109"/>
      <c r="AU249" s="109"/>
      <c r="AV249" s="109"/>
      <c r="AW249" s="109"/>
      <c r="AX249" s="109"/>
      <c r="AY249" s="109"/>
      <c r="AZ249" s="109"/>
      <c r="BA249" s="109"/>
      <c r="BB249" s="109"/>
      <c r="BC249" s="109"/>
      <c r="BD249" s="109"/>
      <c r="BE249" s="109"/>
      <c r="BF249" s="109"/>
      <c r="BG249" s="109"/>
      <c r="BH249" s="109"/>
      <c r="BI249" s="109"/>
      <c r="BJ249" s="109"/>
      <c r="BK249" s="109"/>
      <c r="BL249" s="109"/>
      <c r="BM249" s="109"/>
      <c r="BN249" s="109"/>
      <c r="BO249" s="109"/>
      <c r="BP249" s="109"/>
      <c r="BQ249" s="109"/>
      <c r="BR249" s="109"/>
      <c r="BS249" s="109"/>
      <c r="BT249" s="109"/>
      <c r="BU249" s="109"/>
    </row>
    <row r="250" ht="15.75" customHeight="1">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10"/>
      <c r="X250" s="109"/>
      <c r="Y250" s="109"/>
      <c r="Z250" s="109"/>
      <c r="AA250" s="109"/>
      <c r="AB250" s="109"/>
      <c r="AC250" s="109"/>
      <c r="AD250" s="109"/>
      <c r="AE250" s="109"/>
      <c r="AF250" s="109"/>
      <c r="AG250" s="109"/>
      <c r="AH250" s="109"/>
      <c r="AI250" s="109"/>
      <c r="AJ250" s="109"/>
      <c r="AK250" s="109"/>
      <c r="AL250" s="109"/>
      <c r="AM250" s="109"/>
      <c r="AN250" s="109"/>
      <c r="AO250" s="109"/>
      <c r="AP250" s="109"/>
      <c r="AQ250" s="109"/>
      <c r="AR250" s="109"/>
      <c r="AS250" s="109"/>
      <c r="AT250" s="109"/>
      <c r="AU250" s="109"/>
      <c r="AV250" s="109"/>
      <c r="AW250" s="109"/>
      <c r="AX250" s="109"/>
      <c r="AY250" s="109"/>
      <c r="AZ250" s="109"/>
      <c r="BA250" s="109"/>
      <c r="BB250" s="109"/>
      <c r="BC250" s="109"/>
      <c r="BD250" s="109"/>
      <c r="BE250" s="109"/>
      <c r="BF250" s="109"/>
      <c r="BG250" s="109"/>
      <c r="BH250" s="109"/>
      <c r="BI250" s="109"/>
      <c r="BJ250" s="109"/>
      <c r="BK250" s="109"/>
      <c r="BL250" s="109"/>
      <c r="BM250" s="109"/>
      <c r="BN250" s="109"/>
      <c r="BO250" s="109"/>
      <c r="BP250" s="109"/>
      <c r="BQ250" s="109"/>
      <c r="BR250" s="109"/>
      <c r="BS250" s="109"/>
      <c r="BT250" s="109"/>
      <c r="BU250" s="109"/>
    </row>
    <row r="251" ht="15.75" customHeight="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10"/>
      <c r="X251" s="109"/>
      <c r="Y251" s="109"/>
      <c r="Z251" s="109"/>
      <c r="AA251" s="109"/>
      <c r="AB251" s="109"/>
      <c r="AC251" s="109"/>
      <c r="AD251" s="109"/>
      <c r="AE251" s="109"/>
      <c r="AF251" s="109"/>
      <c r="AG251" s="109"/>
      <c r="AH251" s="109"/>
      <c r="AI251" s="109"/>
      <c r="AJ251" s="109"/>
      <c r="AK251" s="109"/>
      <c r="AL251" s="109"/>
      <c r="AM251" s="109"/>
      <c r="AN251" s="109"/>
      <c r="AO251" s="109"/>
      <c r="AP251" s="109"/>
      <c r="AQ251" s="109"/>
      <c r="AR251" s="109"/>
      <c r="AS251" s="109"/>
      <c r="AT251" s="109"/>
      <c r="AU251" s="109"/>
      <c r="AV251" s="109"/>
      <c r="AW251" s="109"/>
      <c r="AX251" s="109"/>
      <c r="AY251" s="109"/>
      <c r="AZ251" s="109"/>
      <c r="BA251" s="109"/>
      <c r="BB251" s="109"/>
      <c r="BC251" s="109"/>
      <c r="BD251" s="109"/>
      <c r="BE251" s="109"/>
      <c r="BF251" s="109"/>
      <c r="BG251" s="109"/>
      <c r="BH251" s="109"/>
      <c r="BI251" s="109"/>
      <c r="BJ251" s="109"/>
      <c r="BK251" s="109"/>
      <c r="BL251" s="109"/>
      <c r="BM251" s="109"/>
      <c r="BN251" s="109"/>
      <c r="BO251" s="109"/>
      <c r="BP251" s="109"/>
      <c r="BQ251" s="109"/>
      <c r="BR251" s="109"/>
      <c r="BS251" s="109"/>
      <c r="BT251" s="109"/>
      <c r="BU251" s="109"/>
    </row>
    <row r="252" ht="15.75" customHeight="1">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10"/>
      <c r="X252" s="109"/>
      <c r="Y252" s="109"/>
      <c r="Z252" s="109"/>
      <c r="AA252" s="109"/>
      <c r="AB252" s="109"/>
      <c r="AC252" s="109"/>
      <c r="AD252" s="109"/>
      <c r="AE252" s="109"/>
      <c r="AF252" s="109"/>
      <c r="AG252" s="109"/>
      <c r="AH252" s="109"/>
      <c r="AI252" s="109"/>
      <c r="AJ252" s="109"/>
      <c r="AK252" s="109"/>
      <c r="AL252" s="109"/>
      <c r="AM252" s="109"/>
      <c r="AN252" s="109"/>
      <c r="AO252" s="109"/>
      <c r="AP252" s="109"/>
      <c r="AQ252" s="109"/>
      <c r="AR252" s="109"/>
      <c r="AS252" s="109"/>
      <c r="AT252" s="109"/>
      <c r="AU252" s="109"/>
      <c r="AV252" s="109"/>
      <c r="AW252" s="109"/>
      <c r="AX252" s="109"/>
      <c r="AY252" s="109"/>
      <c r="AZ252" s="109"/>
      <c r="BA252" s="109"/>
      <c r="BB252" s="109"/>
      <c r="BC252" s="109"/>
      <c r="BD252" s="109"/>
      <c r="BE252" s="109"/>
      <c r="BF252" s="109"/>
      <c r="BG252" s="109"/>
      <c r="BH252" s="109"/>
      <c r="BI252" s="109"/>
      <c r="BJ252" s="109"/>
      <c r="BK252" s="109"/>
      <c r="BL252" s="109"/>
      <c r="BM252" s="109"/>
      <c r="BN252" s="109"/>
      <c r="BO252" s="109"/>
      <c r="BP252" s="109"/>
      <c r="BQ252" s="109"/>
      <c r="BR252" s="109"/>
      <c r="BS252" s="109"/>
      <c r="BT252" s="109"/>
      <c r="BU252" s="109"/>
    </row>
    <row r="253" ht="15.75" customHeight="1">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10"/>
      <c r="X253" s="109"/>
      <c r="Y253" s="109"/>
      <c r="Z253" s="109"/>
      <c r="AA253" s="109"/>
      <c r="AB253" s="109"/>
      <c r="AC253" s="109"/>
      <c r="AD253" s="109"/>
      <c r="AE253" s="109"/>
      <c r="AF253" s="109"/>
      <c r="AG253" s="109"/>
      <c r="AH253" s="109"/>
      <c r="AI253" s="109"/>
      <c r="AJ253" s="109"/>
      <c r="AK253" s="109"/>
      <c r="AL253" s="109"/>
      <c r="AM253" s="109"/>
      <c r="AN253" s="109"/>
      <c r="AO253" s="109"/>
      <c r="AP253" s="109"/>
      <c r="AQ253" s="109"/>
      <c r="AR253" s="109"/>
      <c r="AS253" s="109"/>
      <c r="AT253" s="109"/>
      <c r="AU253" s="109"/>
      <c r="AV253" s="109"/>
      <c r="AW253" s="109"/>
      <c r="AX253" s="109"/>
      <c r="AY253" s="109"/>
      <c r="AZ253" s="109"/>
      <c r="BA253" s="109"/>
      <c r="BB253" s="109"/>
      <c r="BC253" s="109"/>
      <c r="BD253" s="109"/>
      <c r="BE253" s="109"/>
      <c r="BF253" s="109"/>
      <c r="BG253" s="109"/>
      <c r="BH253" s="109"/>
      <c r="BI253" s="109"/>
      <c r="BJ253" s="109"/>
      <c r="BK253" s="109"/>
      <c r="BL253" s="109"/>
      <c r="BM253" s="109"/>
      <c r="BN253" s="109"/>
      <c r="BO253" s="109"/>
      <c r="BP253" s="109"/>
      <c r="BQ253" s="109"/>
      <c r="BR253" s="109"/>
      <c r="BS253" s="109"/>
      <c r="BT253" s="109"/>
      <c r="BU253" s="109"/>
    </row>
    <row r="254" ht="15.75" customHeight="1">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10"/>
      <c r="X254" s="109"/>
      <c r="Y254" s="109"/>
      <c r="Z254" s="109"/>
      <c r="AA254" s="109"/>
      <c r="AB254" s="109"/>
      <c r="AC254" s="109"/>
      <c r="AD254" s="109"/>
      <c r="AE254" s="109"/>
      <c r="AF254" s="109"/>
      <c r="AG254" s="109"/>
      <c r="AH254" s="109"/>
      <c r="AI254" s="109"/>
      <c r="AJ254" s="109"/>
      <c r="AK254" s="109"/>
      <c r="AL254" s="109"/>
      <c r="AM254" s="109"/>
      <c r="AN254" s="109"/>
      <c r="AO254" s="109"/>
      <c r="AP254" s="109"/>
      <c r="AQ254" s="109"/>
      <c r="AR254" s="109"/>
      <c r="AS254" s="109"/>
      <c r="AT254" s="109"/>
      <c r="AU254" s="109"/>
      <c r="AV254" s="109"/>
      <c r="AW254" s="109"/>
      <c r="AX254" s="109"/>
      <c r="AY254" s="109"/>
      <c r="AZ254" s="109"/>
      <c r="BA254" s="109"/>
      <c r="BB254" s="109"/>
      <c r="BC254" s="109"/>
      <c r="BD254" s="109"/>
      <c r="BE254" s="109"/>
      <c r="BF254" s="109"/>
      <c r="BG254" s="109"/>
      <c r="BH254" s="109"/>
      <c r="BI254" s="109"/>
      <c r="BJ254" s="109"/>
      <c r="BK254" s="109"/>
      <c r="BL254" s="109"/>
      <c r="BM254" s="109"/>
      <c r="BN254" s="109"/>
      <c r="BO254" s="109"/>
      <c r="BP254" s="109"/>
      <c r="BQ254" s="109"/>
      <c r="BR254" s="109"/>
      <c r="BS254" s="109"/>
      <c r="BT254" s="109"/>
      <c r="BU254" s="109"/>
    </row>
    <row r="255" ht="15.75" customHeight="1">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10"/>
      <c r="X255" s="109"/>
      <c r="Y255" s="109"/>
      <c r="Z255" s="109"/>
      <c r="AA255" s="109"/>
      <c r="AB255" s="109"/>
      <c r="AC255" s="109"/>
      <c r="AD255" s="109"/>
      <c r="AE255" s="109"/>
      <c r="AF255" s="109"/>
      <c r="AG255" s="109"/>
      <c r="AH255" s="109"/>
      <c r="AI255" s="109"/>
      <c r="AJ255" s="109"/>
      <c r="AK255" s="109"/>
      <c r="AL255" s="109"/>
      <c r="AM255" s="109"/>
      <c r="AN255" s="109"/>
      <c r="AO255" s="109"/>
      <c r="AP255" s="109"/>
      <c r="AQ255" s="109"/>
      <c r="AR255" s="109"/>
      <c r="AS255" s="109"/>
      <c r="AT255" s="109"/>
      <c r="AU255" s="109"/>
      <c r="AV255" s="109"/>
      <c r="AW255" s="109"/>
      <c r="AX255" s="109"/>
      <c r="AY255" s="109"/>
      <c r="AZ255" s="109"/>
      <c r="BA255" s="109"/>
      <c r="BB255" s="109"/>
      <c r="BC255" s="109"/>
      <c r="BD255" s="109"/>
      <c r="BE255" s="109"/>
      <c r="BF255" s="109"/>
      <c r="BG255" s="109"/>
      <c r="BH255" s="109"/>
      <c r="BI255" s="109"/>
      <c r="BJ255" s="109"/>
      <c r="BK255" s="109"/>
      <c r="BL255" s="109"/>
      <c r="BM255" s="109"/>
      <c r="BN255" s="109"/>
      <c r="BO255" s="109"/>
      <c r="BP255" s="109"/>
      <c r="BQ255" s="109"/>
      <c r="BR255" s="109"/>
      <c r="BS255" s="109"/>
      <c r="BT255" s="109"/>
      <c r="BU255" s="109"/>
    </row>
    <row r="256" ht="15.75" customHeight="1">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10"/>
      <c r="X256" s="109"/>
      <c r="Y256" s="109"/>
      <c r="Z256" s="109"/>
      <c r="AA256" s="109"/>
      <c r="AB256" s="109"/>
      <c r="AC256" s="109"/>
      <c r="AD256" s="109"/>
      <c r="AE256" s="109"/>
      <c r="AF256" s="109"/>
      <c r="AG256" s="109"/>
      <c r="AH256" s="109"/>
      <c r="AI256" s="109"/>
      <c r="AJ256" s="109"/>
      <c r="AK256" s="109"/>
      <c r="AL256" s="109"/>
      <c r="AM256" s="109"/>
      <c r="AN256" s="109"/>
      <c r="AO256" s="109"/>
      <c r="AP256" s="109"/>
      <c r="AQ256" s="109"/>
      <c r="AR256" s="109"/>
      <c r="AS256" s="109"/>
      <c r="AT256" s="109"/>
      <c r="AU256" s="109"/>
      <c r="AV256" s="109"/>
      <c r="AW256" s="109"/>
      <c r="AX256" s="109"/>
      <c r="AY256" s="109"/>
      <c r="AZ256" s="109"/>
      <c r="BA256" s="109"/>
      <c r="BB256" s="109"/>
      <c r="BC256" s="109"/>
      <c r="BD256" s="109"/>
      <c r="BE256" s="109"/>
      <c r="BF256" s="109"/>
      <c r="BG256" s="109"/>
      <c r="BH256" s="109"/>
      <c r="BI256" s="109"/>
      <c r="BJ256" s="109"/>
      <c r="BK256" s="109"/>
      <c r="BL256" s="109"/>
      <c r="BM256" s="109"/>
      <c r="BN256" s="109"/>
      <c r="BO256" s="109"/>
      <c r="BP256" s="109"/>
      <c r="BQ256" s="109"/>
      <c r="BR256" s="109"/>
      <c r="BS256" s="109"/>
      <c r="BT256" s="109"/>
      <c r="BU256" s="109"/>
    </row>
    <row r="257" ht="15.75" customHeight="1">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10"/>
      <c r="X257" s="109"/>
      <c r="Y257" s="109"/>
      <c r="Z257" s="109"/>
      <c r="AA257" s="109"/>
      <c r="AB257" s="109"/>
      <c r="AC257" s="109"/>
      <c r="AD257" s="109"/>
      <c r="AE257" s="109"/>
      <c r="AF257" s="109"/>
      <c r="AG257" s="109"/>
      <c r="AH257" s="109"/>
      <c r="AI257" s="109"/>
      <c r="AJ257" s="109"/>
      <c r="AK257" s="109"/>
      <c r="AL257" s="109"/>
      <c r="AM257" s="109"/>
      <c r="AN257" s="109"/>
      <c r="AO257" s="109"/>
      <c r="AP257" s="109"/>
      <c r="AQ257" s="109"/>
      <c r="AR257" s="109"/>
      <c r="AS257" s="109"/>
      <c r="AT257" s="109"/>
      <c r="AU257" s="109"/>
      <c r="AV257" s="109"/>
      <c r="AW257" s="109"/>
      <c r="AX257" s="109"/>
      <c r="AY257" s="109"/>
      <c r="AZ257" s="109"/>
      <c r="BA257" s="109"/>
      <c r="BB257" s="109"/>
      <c r="BC257" s="109"/>
      <c r="BD257" s="109"/>
      <c r="BE257" s="109"/>
      <c r="BF257" s="109"/>
      <c r="BG257" s="109"/>
      <c r="BH257" s="109"/>
      <c r="BI257" s="109"/>
      <c r="BJ257" s="109"/>
      <c r="BK257" s="109"/>
      <c r="BL257" s="109"/>
      <c r="BM257" s="109"/>
      <c r="BN257" s="109"/>
      <c r="BO257" s="109"/>
      <c r="BP257" s="109"/>
      <c r="BQ257" s="109"/>
      <c r="BR257" s="109"/>
      <c r="BS257" s="109"/>
      <c r="BT257" s="109"/>
      <c r="BU257" s="109"/>
    </row>
    <row r="258" ht="15.75" customHeight="1">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10"/>
      <c r="X258" s="109"/>
      <c r="Y258" s="109"/>
      <c r="Z258" s="109"/>
      <c r="AA258" s="109"/>
      <c r="AB258" s="109"/>
      <c r="AC258" s="109"/>
      <c r="AD258" s="109"/>
      <c r="AE258" s="109"/>
      <c r="AF258" s="109"/>
      <c r="AG258" s="109"/>
      <c r="AH258" s="109"/>
      <c r="AI258" s="109"/>
      <c r="AJ258" s="109"/>
      <c r="AK258" s="109"/>
      <c r="AL258" s="109"/>
      <c r="AM258" s="109"/>
      <c r="AN258" s="109"/>
      <c r="AO258" s="109"/>
      <c r="AP258" s="109"/>
      <c r="AQ258" s="109"/>
      <c r="AR258" s="109"/>
      <c r="AS258" s="109"/>
      <c r="AT258" s="109"/>
      <c r="AU258" s="109"/>
      <c r="AV258" s="109"/>
      <c r="AW258" s="109"/>
      <c r="AX258" s="109"/>
      <c r="AY258" s="109"/>
      <c r="AZ258" s="109"/>
      <c r="BA258" s="109"/>
      <c r="BB258" s="109"/>
      <c r="BC258" s="109"/>
      <c r="BD258" s="109"/>
      <c r="BE258" s="109"/>
      <c r="BF258" s="109"/>
      <c r="BG258" s="109"/>
      <c r="BH258" s="109"/>
      <c r="BI258" s="109"/>
      <c r="BJ258" s="109"/>
      <c r="BK258" s="109"/>
      <c r="BL258" s="109"/>
      <c r="BM258" s="109"/>
      <c r="BN258" s="109"/>
      <c r="BO258" s="109"/>
      <c r="BP258" s="109"/>
      <c r="BQ258" s="109"/>
      <c r="BR258" s="109"/>
      <c r="BS258" s="109"/>
      <c r="BT258" s="109"/>
      <c r="BU258" s="109"/>
    </row>
    <row r="259" ht="15.75" customHeight="1">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10"/>
      <c r="X259" s="109"/>
      <c r="Y259" s="109"/>
      <c r="Z259" s="109"/>
      <c r="AA259" s="109"/>
      <c r="AB259" s="109"/>
      <c r="AC259" s="109"/>
      <c r="AD259" s="109"/>
      <c r="AE259" s="109"/>
      <c r="AF259" s="109"/>
      <c r="AG259" s="109"/>
      <c r="AH259" s="109"/>
      <c r="AI259" s="109"/>
      <c r="AJ259" s="109"/>
      <c r="AK259" s="109"/>
      <c r="AL259" s="109"/>
      <c r="AM259" s="109"/>
      <c r="AN259" s="109"/>
      <c r="AO259" s="109"/>
      <c r="AP259" s="109"/>
      <c r="AQ259" s="109"/>
      <c r="AR259" s="109"/>
      <c r="AS259" s="109"/>
      <c r="AT259" s="109"/>
      <c r="AU259" s="109"/>
      <c r="AV259" s="109"/>
      <c r="AW259" s="109"/>
      <c r="AX259" s="109"/>
      <c r="AY259" s="109"/>
      <c r="AZ259" s="109"/>
      <c r="BA259" s="109"/>
      <c r="BB259" s="109"/>
      <c r="BC259" s="109"/>
      <c r="BD259" s="109"/>
      <c r="BE259" s="109"/>
      <c r="BF259" s="109"/>
      <c r="BG259" s="109"/>
      <c r="BH259" s="109"/>
      <c r="BI259" s="109"/>
      <c r="BJ259" s="109"/>
      <c r="BK259" s="109"/>
      <c r="BL259" s="109"/>
      <c r="BM259" s="109"/>
      <c r="BN259" s="109"/>
      <c r="BO259" s="109"/>
      <c r="BP259" s="109"/>
      <c r="BQ259" s="109"/>
      <c r="BR259" s="109"/>
      <c r="BS259" s="109"/>
      <c r="BT259" s="109"/>
      <c r="BU259" s="109"/>
    </row>
    <row r="260" ht="15.75" customHeight="1">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10"/>
      <c r="X260" s="109"/>
      <c r="Y260" s="109"/>
      <c r="Z260" s="109"/>
      <c r="AA260" s="109"/>
      <c r="AB260" s="109"/>
      <c r="AC260" s="109"/>
      <c r="AD260" s="109"/>
      <c r="AE260" s="109"/>
      <c r="AF260" s="109"/>
      <c r="AG260" s="109"/>
      <c r="AH260" s="109"/>
      <c r="AI260" s="109"/>
      <c r="AJ260" s="109"/>
      <c r="AK260" s="109"/>
      <c r="AL260" s="109"/>
      <c r="AM260" s="109"/>
      <c r="AN260" s="109"/>
      <c r="AO260" s="109"/>
      <c r="AP260" s="109"/>
      <c r="AQ260" s="109"/>
      <c r="AR260" s="109"/>
      <c r="AS260" s="109"/>
      <c r="AT260" s="109"/>
      <c r="AU260" s="109"/>
      <c r="AV260" s="109"/>
      <c r="AW260" s="109"/>
      <c r="AX260" s="109"/>
      <c r="AY260" s="109"/>
      <c r="AZ260" s="109"/>
      <c r="BA260" s="109"/>
      <c r="BB260" s="109"/>
      <c r="BC260" s="109"/>
      <c r="BD260" s="109"/>
      <c r="BE260" s="109"/>
      <c r="BF260" s="109"/>
      <c r="BG260" s="109"/>
      <c r="BH260" s="109"/>
      <c r="BI260" s="109"/>
      <c r="BJ260" s="109"/>
      <c r="BK260" s="109"/>
      <c r="BL260" s="109"/>
      <c r="BM260" s="109"/>
      <c r="BN260" s="109"/>
      <c r="BO260" s="109"/>
      <c r="BP260" s="109"/>
      <c r="BQ260" s="109"/>
      <c r="BR260" s="109"/>
      <c r="BS260" s="109"/>
      <c r="BT260" s="109"/>
      <c r="BU260" s="109"/>
    </row>
    <row r="261" ht="15.75" customHeight="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10"/>
      <c r="X261" s="109"/>
      <c r="Y261" s="109"/>
      <c r="Z261" s="109"/>
      <c r="AA261" s="109"/>
      <c r="AB261" s="109"/>
      <c r="AC261" s="109"/>
      <c r="AD261" s="109"/>
      <c r="AE261" s="109"/>
      <c r="AF261" s="109"/>
      <c r="AG261" s="109"/>
      <c r="AH261" s="109"/>
      <c r="AI261" s="109"/>
      <c r="AJ261" s="109"/>
      <c r="AK261" s="109"/>
      <c r="AL261" s="109"/>
      <c r="AM261" s="109"/>
      <c r="AN261" s="109"/>
      <c r="AO261" s="109"/>
      <c r="AP261" s="109"/>
      <c r="AQ261" s="109"/>
      <c r="AR261" s="109"/>
      <c r="AS261" s="109"/>
      <c r="AT261" s="109"/>
      <c r="AU261" s="109"/>
      <c r="AV261" s="109"/>
      <c r="AW261" s="109"/>
      <c r="AX261" s="109"/>
      <c r="AY261" s="109"/>
      <c r="AZ261" s="109"/>
      <c r="BA261" s="109"/>
      <c r="BB261" s="109"/>
      <c r="BC261" s="109"/>
      <c r="BD261" s="109"/>
      <c r="BE261" s="109"/>
      <c r="BF261" s="109"/>
      <c r="BG261" s="109"/>
      <c r="BH261" s="109"/>
      <c r="BI261" s="109"/>
      <c r="BJ261" s="109"/>
      <c r="BK261" s="109"/>
      <c r="BL261" s="109"/>
      <c r="BM261" s="109"/>
      <c r="BN261" s="109"/>
      <c r="BO261" s="109"/>
      <c r="BP261" s="109"/>
      <c r="BQ261" s="109"/>
      <c r="BR261" s="109"/>
      <c r="BS261" s="109"/>
      <c r="BT261" s="109"/>
      <c r="BU261" s="109"/>
    </row>
    <row r="262" ht="15.75" customHeight="1">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10"/>
      <c r="X262" s="109"/>
      <c r="Y262" s="109"/>
      <c r="Z262" s="109"/>
      <c r="AA262" s="109"/>
      <c r="AB262" s="109"/>
      <c r="AC262" s="109"/>
      <c r="AD262" s="109"/>
      <c r="AE262" s="109"/>
      <c r="AF262" s="109"/>
      <c r="AG262" s="109"/>
      <c r="AH262" s="109"/>
      <c r="AI262" s="109"/>
      <c r="AJ262" s="109"/>
      <c r="AK262" s="109"/>
      <c r="AL262" s="109"/>
      <c r="AM262" s="109"/>
      <c r="AN262" s="109"/>
      <c r="AO262" s="109"/>
      <c r="AP262" s="109"/>
      <c r="AQ262" s="109"/>
      <c r="AR262" s="109"/>
      <c r="AS262" s="109"/>
      <c r="AT262" s="109"/>
      <c r="AU262" s="109"/>
      <c r="AV262" s="109"/>
      <c r="AW262" s="109"/>
      <c r="AX262" s="109"/>
      <c r="AY262" s="109"/>
      <c r="AZ262" s="109"/>
      <c r="BA262" s="109"/>
      <c r="BB262" s="109"/>
      <c r="BC262" s="109"/>
      <c r="BD262" s="109"/>
      <c r="BE262" s="109"/>
      <c r="BF262" s="109"/>
      <c r="BG262" s="109"/>
      <c r="BH262" s="109"/>
      <c r="BI262" s="109"/>
      <c r="BJ262" s="109"/>
      <c r="BK262" s="109"/>
      <c r="BL262" s="109"/>
      <c r="BM262" s="109"/>
      <c r="BN262" s="109"/>
      <c r="BO262" s="109"/>
      <c r="BP262" s="109"/>
      <c r="BQ262" s="109"/>
      <c r="BR262" s="109"/>
      <c r="BS262" s="109"/>
      <c r="BT262" s="109"/>
      <c r="BU262" s="109"/>
    </row>
    <row r="263" ht="15.75" customHeight="1">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10"/>
      <c r="X263" s="109"/>
      <c r="Y263" s="109"/>
      <c r="Z263" s="109"/>
      <c r="AA263" s="109"/>
      <c r="AB263" s="109"/>
      <c r="AC263" s="109"/>
      <c r="AD263" s="109"/>
      <c r="AE263" s="109"/>
      <c r="AF263" s="109"/>
      <c r="AG263" s="109"/>
      <c r="AH263" s="109"/>
      <c r="AI263" s="109"/>
      <c r="AJ263" s="109"/>
      <c r="AK263" s="109"/>
      <c r="AL263" s="109"/>
      <c r="AM263" s="109"/>
      <c r="AN263" s="109"/>
      <c r="AO263" s="109"/>
      <c r="AP263" s="109"/>
      <c r="AQ263" s="109"/>
      <c r="AR263" s="109"/>
      <c r="AS263" s="109"/>
      <c r="AT263" s="109"/>
      <c r="AU263" s="109"/>
      <c r="AV263" s="109"/>
      <c r="AW263" s="109"/>
      <c r="AX263" s="109"/>
      <c r="AY263" s="109"/>
      <c r="AZ263" s="109"/>
      <c r="BA263" s="109"/>
      <c r="BB263" s="109"/>
      <c r="BC263" s="109"/>
      <c r="BD263" s="109"/>
      <c r="BE263" s="109"/>
      <c r="BF263" s="109"/>
      <c r="BG263" s="109"/>
      <c r="BH263" s="109"/>
      <c r="BI263" s="109"/>
      <c r="BJ263" s="109"/>
      <c r="BK263" s="109"/>
      <c r="BL263" s="109"/>
      <c r="BM263" s="109"/>
      <c r="BN263" s="109"/>
      <c r="BO263" s="109"/>
      <c r="BP263" s="109"/>
      <c r="BQ263" s="109"/>
      <c r="BR263" s="109"/>
      <c r="BS263" s="109"/>
      <c r="BT263" s="109"/>
      <c r="BU263" s="109"/>
    </row>
    <row r="264" ht="15.75" customHeight="1">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10"/>
      <c r="X264" s="109"/>
      <c r="Y264" s="109"/>
      <c r="Z264" s="109"/>
      <c r="AA264" s="109"/>
      <c r="AB264" s="109"/>
      <c r="AC264" s="109"/>
      <c r="AD264" s="109"/>
      <c r="AE264" s="109"/>
      <c r="AF264" s="109"/>
      <c r="AG264" s="109"/>
      <c r="AH264" s="109"/>
      <c r="AI264" s="109"/>
      <c r="AJ264" s="109"/>
      <c r="AK264" s="109"/>
      <c r="AL264" s="109"/>
      <c r="AM264" s="109"/>
      <c r="AN264" s="109"/>
      <c r="AO264" s="109"/>
      <c r="AP264" s="109"/>
      <c r="AQ264" s="109"/>
      <c r="AR264" s="109"/>
      <c r="AS264" s="109"/>
      <c r="AT264" s="109"/>
      <c r="AU264" s="109"/>
      <c r="AV264" s="109"/>
      <c r="AW264" s="109"/>
      <c r="AX264" s="109"/>
      <c r="AY264" s="109"/>
      <c r="AZ264" s="109"/>
      <c r="BA264" s="109"/>
      <c r="BB264" s="109"/>
      <c r="BC264" s="109"/>
      <c r="BD264" s="109"/>
      <c r="BE264" s="109"/>
      <c r="BF264" s="109"/>
      <c r="BG264" s="109"/>
      <c r="BH264" s="109"/>
      <c r="BI264" s="109"/>
      <c r="BJ264" s="109"/>
      <c r="BK264" s="109"/>
      <c r="BL264" s="109"/>
      <c r="BM264" s="109"/>
      <c r="BN264" s="109"/>
      <c r="BO264" s="109"/>
      <c r="BP264" s="109"/>
      <c r="BQ264" s="109"/>
      <c r="BR264" s="109"/>
      <c r="BS264" s="109"/>
      <c r="BT264" s="109"/>
      <c r="BU264" s="109"/>
    </row>
    <row r="265" ht="15.75" customHeight="1">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10"/>
      <c r="X265" s="109"/>
      <c r="Y265" s="109"/>
      <c r="Z265" s="109"/>
      <c r="AA265" s="109"/>
      <c r="AB265" s="109"/>
      <c r="AC265" s="109"/>
      <c r="AD265" s="109"/>
      <c r="AE265" s="109"/>
      <c r="AF265" s="109"/>
      <c r="AG265" s="109"/>
      <c r="AH265" s="109"/>
      <c r="AI265" s="109"/>
      <c r="AJ265" s="109"/>
      <c r="AK265" s="109"/>
      <c r="AL265" s="109"/>
      <c r="AM265" s="109"/>
      <c r="AN265" s="109"/>
      <c r="AO265" s="109"/>
      <c r="AP265" s="109"/>
      <c r="AQ265" s="109"/>
      <c r="AR265" s="109"/>
      <c r="AS265" s="109"/>
      <c r="AT265" s="109"/>
      <c r="AU265" s="109"/>
      <c r="AV265" s="109"/>
      <c r="AW265" s="109"/>
      <c r="AX265" s="109"/>
      <c r="AY265" s="109"/>
      <c r="AZ265" s="109"/>
      <c r="BA265" s="109"/>
      <c r="BB265" s="109"/>
      <c r="BC265" s="109"/>
      <c r="BD265" s="109"/>
      <c r="BE265" s="109"/>
      <c r="BF265" s="109"/>
      <c r="BG265" s="109"/>
      <c r="BH265" s="109"/>
      <c r="BI265" s="109"/>
      <c r="BJ265" s="109"/>
      <c r="BK265" s="109"/>
      <c r="BL265" s="109"/>
      <c r="BM265" s="109"/>
      <c r="BN265" s="109"/>
      <c r="BO265" s="109"/>
      <c r="BP265" s="109"/>
      <c r="BQ265" s="109"/>
      <c r="BR265" s="109"/>
      <c r="BS265" s="109"/>
      <c r="BT265" s="109"/>
      <c r="BU265" s="109"/>
    </row>
    <row r="266" ht="15.75" customHeight="1">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10"/>
      <c r="X266" s="109"/>
      <c r="Y266" s="109"/>
      <c r="Z266" s="109"/>
      <c r="AA266" s="109"/>
      <c r="AB266" s="109"/>
      <c r="AC266" s="109"/>
      <c r="AD266" s="109"/>
      <c r="AE266" s="109"/>
      <c r="AF266" s="109"/>
      <c r="AG266" s="109"/>
      <c r="AH266" s="109"/>
      <c r="AI266" s="109"/>
      <c r="AJ266" s="109"/>
      <c r="AK266" s="109"/>
      <c r="AL266" s="109"/>
      <c r="AM266" s="109"/>
      <c r="AN266" s="109"/>
      <c r="AO266" s="109"/>
      <c r="AP266" s="109"/>
      <c r="AQ266" s="109"/>
      <c r="AR266" s="109"/>
      <c r="AS266" s="109"/>
      <c r="AT266" s="109"/>
      <c r="AU266" s="109"/>
      <c r="AV266" s="109"/>
      <c r="AW266" s="109"/>
      <c r="AX266" s="109"/>
      <c r="AY266" s="109"/>
      <c r="AZ266" s="109"/>
      <c r="BA266" s="109"/>
      <c r="BB266" s="109"/>
      <c r="BC266" s="109"/>
      <c r="BD266" s="109"/>
      <c r="BE266" s="109"/>
      <c r="BF266" s="109"/>
      <c r="BG266" s="109"/>
      <c r="BH266" s="109"/>
      <c r="BI266" s="109"/>
      <c r="BJ266" s="109"/>
      <c r="BK266" s="109"/>
      <c r="BL266" s="109"/>
      <c r="BM266" s="109"/>
      <c r="BN266" s="109"/>
      <c r="BO266" s="109"/>
      <c r="BP266" s="109"/>
      <c r="BQ266" s="109"/>
      <c r="BR266" s="109"/>
      <c r="BS266" s="109"/>
      <c r="BT266" s="109"/>
      <c r="BU266" s="109"/>
    </row>
    <row r="267" ht="15.75" customHeight="1">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10"/>
      <c r="X267" s="109"/>
      <c r="Y267" s="109"/>
      <c r="Z267" s="109"/>
      <c r="AA267" s="109"/>
      <c r="AB267" s="109"/>
      <c r="AC267" s="109"/>
      <c r="AD267" s="109"/>
      <c r="AE267" s="109"/>
      <c r="AF267" s="109"/>
      <c r="AG267" s="109"/>
      <c r="AH267" s="109"/>
      <c r="AI267" s="109"/>
      <c r="AJ267" s="109"/>
      <c r="AK267" s="109"/>
      <c r="AL267" s="109"/>
      <c r="AM267" s="109"/>
      <c r="AN267" s="109"/>
      <c r="AO267" s="109"/>
      <c r="AP267" s="109"/>
      <c r="AQ267" s="109"/>
      <c r="AR267" s="109"/>
      <c r="AS267" s="109"/>
      <c r="AT267" s="109"/>
      <c r="AU267" s="109"/>
      <c r="AV267" s="109"/>
      <c r="AW267" s="109"/>
      <c r="AX267" s="109"/>
      <c r="AY267" s="109"/>
      <c r="AZ267" s="109"/>
      <c r="BA267" s="109"/>
      <c r="BB267" s="109"/>
      <c r="BC267" s="109"/>
      <c r="BD267" s="109"/>
      <c r="BE267" s="109"/>
      <c r="BF267" s="109"/>
      <c r="BG267" s="109"/>
      <c r="BH267" s="109"/>
      <c r="BI267" s="109"/>
      <c r="BJ267" s="109"/>
      <c r="BK267" s="109"/>
      <c r="BL267" s="109"/>
      <c r="BM267" s="109"/>
      <c r="BN267" s="109"/>
      <c r="BO267" s="109"/>
      <c r="BP267" s="109"/>
      <c r="BQ267" s="109"/>
      <c r="BR267" s="109"/>
      <c r="BS267" s="109"/>
      <c r="BT267" s="109"/>
      <c r="BU267" s="109"/>
    </row>
    <row r="268" ht="15.75" customHeight="1">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10"/>
      <c r="X268" s="109"/>
      <c r="Y268" s="109"/>
      <c r="Z268" s="109"/>
      <c r="AA268" s="109"/>
      <c r="AB268" s="109"/>
      <c r="AC268" s="109"/>
      <c r="AD268" s="109"/>
      <c r="AE268" s="109"/>
      <c r="AF268" s="109"/>
      <c r="AG268" s="109"/>
      <c r="AH268" s="109"/>
      <c r="AI268" s="109"/>
      <c r="AJ268" s="109"/>
      <c r="AK268" s="109"/>
      <c r="AL268" s="109"/>
      <c r="AM268" s="109"/>
      <c r="AN268" s="109"/>
      <c r="AO268" s="109"/>
      <c r="AP268" s="109"/>
      <c r="AQ268" s="109"/>
      <c r="AR268" s="109"/>
      <c r="AS268" s="109"/>
      <c r="AT268" s="109"/>
      <c r="AU268" s="109"/>
      <c r="AV268" s="109"/>
      <c r="AW268" s="109"/>
      <c r="AX268" s="109"/>
      <c r="AY268" s="109"/>
      <c r="AZ268" s="109"/>
      <c r="BA268" s="109"/>
      <c r="BB268" s="109"/>
      <c r="BC268" s="109"/>
      <c r="BD268" s="109"/>
      <c r="BE268" s="109"/>
      <c r="BF268" s="109"/>
      <c r="BG268" s="109"/>
      <c r="BH268" s="109"/>
      <c r="BI268" s="109"/>
      <c r="BJ268" s="109"/>
      <c r="BK268" s="109"/>
      <c r="BL268" s="109"/>
      <c r="BM268" s="109"/>
      <c r="BN268" s="109"/>
      <c r="BO268" s="109"/>
      <c r="BP268" s="109"/>
      <c r="BQ268" s="109"/>
      <c r="BR268" s="109"/>
      <c r="BS268" s="109"/>
      <c r="BT268" s="109"/>
      <c r="BU268" s="109"/>
    </row>
    <row r="269" ht="15.75" customHeight="1">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10"/>
      <c r="X269" s="109"/>
      <c r="Y269" s="109"/>
      <c r="Z269" s="109"/>
      <c r="AA269" s="109"/>
      <c r="AB269" s="109"/>
      <c r="AC269" s="109"/>
      <c r="AD269" s="109"/>
      <c r="AE269" s="109"/>
      <c r="AF269" s="109"/>
      <c r="AG269" s="109"/>
      <c r="AH269" s="109"/>
      <c r="AI269" s="109"/>
      <c r="AJ269" s="109"/>
      <c r="AK269" s="109"/>
      <c r="AL269" s="109"/>
      <c r="AM269" s="109"/>
      <c r="AN269" s="109"/>
      <c r="AO269" s="109"/>
      <c r="AP269" s="109"/>
      <c r="AQ269" s="109"/>
      <c r="AR269" s="109"/>
      <c r="AS269" s="109"/>
      <c r="AT269" s="109"/>
      <c r="AU269" s="109"/>
      <c r="AV269" s="109"/>
      <c r="AW269" s="109"/>
      <c r="AX269" s="109"/>
      <c r="AY269" s="109"/>
      <c r="AZ269" s="109"/>
      <c r="BA269" s="109"/>
      <c r="BB269" s="109"/>
      <c r="BC269" s="109"/>
      <c r="BD269" s="109"/>
      <c r="BE269" s="109"/>
      <c r="BF269" s="109"/>
      <c r="BG269" s="109"/>
      <c r="BH269" s="109"/>
      <c r="BI269" s="109"/>
      <c r="BJ269" s="109"/>
      <c r="BK269" s="109"/>
      <c r="BL269" s="109"/>
      <c r="BM269" s="109"/>
      <c r="BN269" s="109"/>
      <c r="BO269" s="109"/>
      <c r="BP269" s="109"/>
      <c r="BQ269" s="109"/>
      <c r="BR269" s="109"/>
      <c r="BS269" s="109"/>
      <c r="BT269" s="109"/>
      <c r="BU269" s="109"/>
    </row>
    <row r="270" ht="15.75" customHeight="1">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10"/>
      <c r="X270" s="109"/>
      <c r="Y270" s="109"/>
      <c r="Z270" s="109"/>
      <c r="AA270" s="109"/>
      <c r="AB270" s="109"/>
      <c r="AC270" s="109"/>
      <c r="AD270" s="109"/>
      <c r="AE270" s="109"/>
      <c r="AF270" s="109"/>
      <c r="AG270" s="109"/>
      <c r="AH270" s="109"/>
      <c r="AI270" s="109"/>
      <c r="AJ270" s="109"/>
      <c r="AK270" s="109"/>
      <c r="AL270" s="109"/>
      <c r="AM270" s="109"/>
      <c r="AN270" s="109"/>
      <c r="AO270" s="109"/>
      <c r="AP270" s="109"/>
      <c r="AQ270" s="109"/>
      <c r="AR270" s="109"/>
      <c r="AS270" s="109"/>
      <c r="AT270" s="109"/>
      <c r="AU270" s="109"/>
      <c r="AV270" s="109"/>
      <c r="AW270" s="109"/>
      <c r="AX270" s="109"/>
      <c r="AY270" s="109"/>
      <c r="AZ270" s="109"/>
      <c r="BA270" s="109"/>
      <c r="BB270" s="109"/>
      <c r="BC270" s="109"/>
      <c r="BD270" s="109"/>
      <c r="BE270" s="109"/>
      <c r="BF270" s="109"/>
      <c r="BG270" s="109"/>
      <c r="BH270" s="109"/>
      <c r="BI270" s="109"/>
      <c r="BJ270" s="109"/>
      <c r="BK270" s="109"/>
      <c r="BL270" s="109"/>
      <c r="BM270" s="109"/>
      <c r="BN270" s="109"/>
      <c r="BO270" s="109"/>
      <c r="BP270" s="109"/>
      <c r="BQ270" s="109"/>
      <c r="BR270" s="109"/>
      <c r="BS270" s="109"/>
      <c r="BT270" s="109"/>
      <c r="BU270" s="109"/>
    </row>
    <row r="271" ht="15.75" customHeight="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10"/>
      <c r="X271" s="109"/>
      <c r="Y271" s="109"/>
      <c r="Z271" s="109"/>
      <c r="AA271" s="109"/>
      <c r="AB271" s="109"/>
      <c r="AC271" s="109"/>
      <c r="AD271" s="109"/>
      <c r="AE271" s="109"/>
      <c r="AF271" s="109"/>
      <c r="AG271" s="109"/>
      <c r="AH271" s="109"/>
      <c r="AI271" s="109"/>
      <c r="AJ271" s="109"/>
      <c r="AK271" s="109"/>
      <c r="AL271" s="109"/>
      <c r="AM271" s="109"/>
      <c r="AN271" s="109"/>
      <c r="AO271" s="109"/>
      <c r="AP271" s="109"/>
      <c r="AQ271" s="109"/>
      <c r="AR271" s="109"/>
      <c r="AS271" s="109"/>
      <c r="AT271" s="109"/>
      <c r="AU271" s="109"/>
      <c r="AV271" s="109"/>
      <c r="AW271" s="109"/>
      <c r="AX271" s="109"/>
      <c r="AY271" s="109"/>
      <c r="AZ271" s="109"/>
      <c r="BA271" s="109"/>
      <c r="BB271" s="109"/>
      <c r="BC271" s="109"/>
      <c r="BD271" s="109"/>
      <c r="BE271" s="109"/>
      <c r="BF271" s="109"/>
      <c r="BG271" s="109"/>
      <c r="BH271" s="109"/>
      <c r="BI271" s="109"/>
      <c r="BJ271" s="109"/>
      <c r="BK271" s="109"/>
      <c r="BL271" s="109"/>
      <c r="BM271" s="109"/>
      <c r="BN271" s="109"/>
      <c r="BO271" s="109"/>
      <c r="BP271" s="109"/>
      <c r="BQ271" s="109"/>
      <c r="BR271" s="109"/>
      <c r="BS271" s="109"/>
      <c r="BT271" s="109"/>
      <c r="BU271" s="109"/>
    </row>
    <row r="272" ht="15.75" customHeight="1">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10"/>
      <c r="X272" s="109"/>
      <c r="Y272" s="109"/>
      <c r="Z272" s="109"/>
      <c r="AA272" s="109"/>
      <c r="AB272" s="109"/>
      <c r="AC272" s="109"/>
      <c r="AD272" s="109"/>
      <c r="AE272" s="109"/>
      <c r="AF272" s="109"/>
      <c r="AG272" s="109"/>
      <c r="AH272" s="109"/>
      <c r="AI272" s="109"/>
      <c r="AJ272" s="109"/>
      <c r="AK272" s="109"/>
      <c r="AL272" s="109"/>
      <c r="AM272" s="109"/>
      <c r="AN272" s="109"/>
      <c r="AO272" s="109"/>
      <c r="AP272" s="109"/>
      <c r="AQ272" s="109"/>
      <c r="AR272" s="109"/>
      <c r="AS272" s="109"/>
      <c r="AT272" s="109"/>
      <c r="AU272" s="109"/>
      <c r="AV272" s="109"/>
      <c r="AW272" s="109"/>
      <c r="AX272" s="109"/>
      <c r="AY272" s="109"/>
      <c r="AZ272" s="109"/>
      <c r="BA272" s="109"/>
      <c r="BB272" s="109"/>
      <c r="BC272" s="109"/>
      <c r="BD272" s="109"/>
      <c r="BE272" s="109"/>
      <c r="BF272" s="109"/>
      <c r="BG272" s="109"/>
      <c r="BH272" s="109"/>
      <c r="BI272" s="109"/>
      <c r="BJ272" s="109"/>
      <c r="BK272" s="109"/>
      <c r="BL272" s="109"/>
      <c r="BM272" s="109"/>
      <c r="BN272" s="109"/>
      <c r="BO272" s="109"/>
      <c r="BP272" s="109"/>
      <c r="BQ272" s="109"/>
      <c r="BR272" s="109"/>
      <c r="BS272" s="109"/>
      <c r="BT272" s="109"/>
      <c r="BU272" s="109"/>
    </row>
    <row r="273" ht="15.75" customHeight="1">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10"/>
      <c r="X273" s="109"/>
      <c r="Y273" s="109"/>
      <c r="Z273" s="109"/>
      <c r="AA273" s="109"/>
      <c r="AB273" s="109"/>
      <c r="AC273" s="109"/>
      <c r="AD273" s="109"/>
      <c r="AE273" s="109"/>
      <c r="AF273" s="109"/>
      <c r="AG273" s="109"/>
      <c r="AH273" s="109"/>
      <c r="AI273" s="109"/>
      <c r="AJ273" s="109"/>
      <c r="AK273" s="109"/>
      <c r="AL273" s="109"/>
      <c r="AM273" s="109"/>
      <c r="AN273" s="109"/>
      <c r="AO273" s="109"/>
      <c r="AP273" s="109"/>
      <c r="AQ273" s="109"/>
      <c r="AR273" s="109"/>
      <c r="AS273" s="109"/>
      <c r="AT273" s="109"/>
      <c r="AU273" s="109"/>
      <c r="AV273" s="109"/>
      <c r="AW273" s="109"/>
      <c r="AX273" s="109"/>
      <c r="AY273" s="109"/>
      <c r="AZ273" s="109"/>
      <c r="BA273" s="109"/>
      <c r="BB273" s="109"/>
      <c r="BC273" s="109"/>
      <c r="BD273" s="109"/>
      <c r="BE273" s="109"/>
      <c r="BF273" s="109"/>
      <c r="BG273" s="109"/>
      <c r="BH273" s="109"/>
      <c r="BI273" s="109"/>
      <c r="BJ273" s="109"/>
      <c r="BK273" s="109"/>
      <c r="BL273" s="109"/>
      <c r="BM273" s="109"/>
      <c r="BN273" s="109"/>
      <c r="BO273" s="109"/>
      <c r="BP273" s="109"/>
      <c r="BQ273" s="109"/>
      <c r="BR273" s="109"/>
      <c r="BS273" s="109"/>
      <c r="BT273" s="109"/>
      <c r="BU273" s="109"/>
    </row>
    <row r="274" ht="15.75" customHeight="1">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10"/>
      <c r="X274" s="109"/>
      <c r="Y274" s="109"/>
      <c r="Z274" s="109"/>
      <c r="AA274" s="109"/>
      <c r="AB274" s="109"/>
      <c r="AC274" s="109"/>
      <c r="AD274" s="109"/>
      <c r="AE274" s="109"/>
      <c r="AF274" s="109"/>
      <c r="AG274" s="109"/>
      <c r="AH274" s="109"/>
      <c r="AI274" s="109"/>
      <c r="AJ274" s="109"/>
      <c r="AK274" s="109"/>
      <c r="AL274" s="109"/>
      <c r="AM274" s="109"/>
      <c r="AN274" s="109"/>
      <c r="AO274" s="109"/>
      <c r="AP274" s="109"/>
      <c r="AQ274" s="109"/>
      <c r="AR274" s="109"/>
      <c r="AS274" s="109"/>
      <c r="AT274" s="109"/>
      <c r="AU274" s="109"/>
      <c r="AV274" s="109"/>
      <c r="AW274" s="109"/>
      <c r="AX274" s="109"/>
      <c r="AY274" s="109"/>
      <c r="AZ274" s="109"/>
      <c r="BA274" s="109"/>
      <c r="BB274" s="109"/>
      <c r="BC274" s="109"/>
      <c r="BD274" s="109"/>
      <c r="BE274" s="109"/>
      <c r="BF274" s="109"/>
      <c r="BG274" s="109"/>
      <c r="BH274" s="109"/>
      <c r="BI274" s="109"/>
      <c r="BJ274" s="109"/>
      <c r="BK274" s="109"/>
      <c r="BL274" s="109"/>
      <c r="BM274" s="109"/>
      <c r="BN274" s="109"/>
      <c r="BO274" s="109"/>
      <c r="BP274" s="109"/>
      <c r="BQ274" s="109"/>
      <c r="BR274" s="109"/>
      <c r="BS274" s="109"/>
      <c r="BT274" s="109"/>
      <c r="BU274" s="109"/>
    </row>
    <row r="275" ht="15.75" customHeight="1">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10"/>
      <c r="X275" s="109"/>
      <c r="Y275" s="109"/>
      <c r="Z275" s="109"/>
      <c r="AA275" s="109"/>
      <c r="AB275" s="109"/>
      <c r="AC275" s="109"/>
      <c r="AD275" s="109"/>
      <c r="AE275" s="109"/>
      <c r="AF275" s="109"/>
      <c r="AG275" s="109"/>
      <c r="AH275" s="109"/>
      <c r="AI275" s="109"/>
      <c r="AJ275" s="109"/>
      <c r="AK275" s="109"/>
      <c r="AL275" s="109"/>
      <c r="AM275" s="109"/>
      <c r="AN275" s="109"/>
      <c r="AO275" s="109"/>
      <c r="AP275" s="109"/>
      <c r="AQ275" s="109"/>
      <c r="AR275" s="109"/>
      <c r="AS275" s="109"/>
      <c r="AT275" s="109"/>
      <c r="AU275" s="109"/>
      <c r="AV275" s="109"/>
      <c r="AW275" s="109"/>
      <c r="AX275" s="109"/>
      <c r="AY275" s="109"/>
      <c r="AZ275" s="109"/>
      <c r="BA275" s="109"/>
      <c r="BB275" s="109"/>
      <c r="BC275" s="109"/>
      <c r="BD275" s="109"/>
      <c r="BE275" s="109"/>
      <c r="BF275" s="109"/>
      <c r="BG275" s="109"/>
      <c r="BH275" s="109"/>
      <c r="BI275" s="109"/>
      <c r="BJ275" s="109"/>
      <c r="BK275" s="109"/>
      <c r="BL275" s="109"/>
      <c r="BM275" s="109"/>
      <c r="BN275" s="109"/>
      <c r="BO275" s="109"/>
      <c r="BP275" s="109"/>
      <c r="BQ275" s="109"/>
      <c r="BR275" s="109"/>
      <c r="BS275" s="109"/>
      <c r="BT275" s="109"/>
      <c r="BU275" s="109"/>
    </row>
    <row r="276" ht="15.75" customHeight="1">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10"/>
      <c r="X276" s="109"/>
      <c r="Y276" s="109"/>
      <c r="Z276" s="109"/>
      <c r="AA276" s="109"/>
      <c r="AB276" s="109"/>
      <c r="AC276" s="109"/>
      <c r="AD276" s="109"/>
      <c r="AE276" s="109"/>
      <c r="AF276" s="109"/>
      <c r="AG276" s="109"/>
      <c r="AH276" s="109"/>
      <c r="AI276" s="109"/>
      <c r="AJ276" s="109"/>
      <c r="AK276" s="109"/>
      <c r="AL276" s="109"/>
      <c r="AM276" s="109"/>
      <c r="AN276" s="109"/>
      <c r="AO276" s="109"/>
      <c r="AP276" s="109"/>
      <c r="AQ276" s="109"/>
      <c r="AR276" s="109"/>
      <c r="AS276" s="109"/>
      <c r="AT276" s="109"/>
      <c r="AU276" s="109"/>
      <c r="AV276" s="109"/>
      <c r="AW276" s="109"/>
      <c r="AX276" s="109"/>
      <c r="AY276" s="109"/>
      <c r="AZ276" s="109"/>
      <c r="BA276" s="109"/>
      <c r="BB276" s="109"/>
      <c r="BC276" s="109"/>
      <c r="BD276" s="109"/>
      <c r="BE276" s="109"/>
      <c r="BF276" s="109"/>
      <c r="BG276" s="109"/>
      <c r="BH276" s="109"/>
      <c r="BI276" s="109"/>
      <c r="BJ276" s="109"/>
      <c r="BK276" s="109"/>
      <c r="BL276" s="109"/>
      <c r="BM276" s="109"/>
      <c r="BN276" s="109"/>
      <c r="BO276" s="109"/>
      <c r="BP276" s="109"/>
      <c r="BQ276" s="109"/>
      <c r="BR276" s="109"/>
      <c r="BS276" s="109"/>
      <c r="BT276" s="109"/>
      <c r="BU276" s="109"/>
    </row>
    <row r="277" ht="15.75" customHeight="1">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10"/>
      <c r="X277" s="109"/>
      <c r="Y277" s="109"/>
      <c r="Z277" s="109"/>
      <c r="AA277" s="109"/>
      <c r="AB277" s="109"/>
      <c r="AC277" s="109"/>
      <c r="AD277" s="109"/>
      <c r="AE277" s="109"/>
      <c r="AF277" s="109"/>
      <c r="AG277" s="109"/>
      <c r="AH277" s="109"/>
      <c r="AI277" s="109"/>
      <c r="AJ277" s="109"/>
      <c r="AK277" s="109"/>
      <c r="AL277" s="109"/>
      <c r="AM277" s="109"/>
      <c r="AN277" s="109"/>
      <c r="AO277" s="109"/>
      <c r="AP277" s="109"/>
      <c r="AQ277" s="109"/>
      <c r="AR277" s="109"/>
      <c r="AS277" s="109"/>
      <c r="AT277" s="109"/>
      <c r="AU277" s="109"/>
      <c r="AV277" s="109"/>
      <c r="AW277" s="109"/>
      <c r="AX277" s="109"/>
      <c r="AY277" s="109"/>
      <c r="AZ277" s="109"/>
      <c r="BA277" s="109"/>
      <c r="BB277" s="109"/>
      <c r="BC277" s="109"/>
      <c r="BD277" s="109"/>
      <c r="BE277" s="109"/>
      <c r="BF277" s="109"/>
      <c r="BG277" s="109"/>
      <c r="BH277" s="109"/>
      <c r="BI277" s="109"/>
      <c r="BJ277" s="109"/>
      <c r="BK277" s="109"/>
      <c r="BL277" s="109"/>
      <c r="BM277" s="109"/>
      <c r="BN277" s="109"/>
      <c r="BO277" s="109"/>
      <c r="BP277" s="109"/>
      <c r="BQ277" s="109"/>
      <c r="BR277" s="109"/>
      <c r="BS277" s="109"/>
      <c r="BT277" s="109"/>
      <c r="BU277" s="109"/>
    </row>
    <row r="278" ht="15.75" customHeight="1">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10"/>
      <c r="X278" s="109"/>
      <c r="Y278" s="109"/>
      <c r="Z278" s="109"/>
      <c r="AA278" s="109"/>
      <c r="AB278" s="109"/>
      <c r="AC278" s="109"/>
      <c r="AD278" s="109"/>
      <c r="AE278" s="109"/>
      <c r="AF278" s="109"/>
      <c r="AG278" s="109"/>
      <c r="AH278" s="109"/>
      <c r="AI278" s="109"/>
      <c r="AJ278" s="109"/>
      <c r="AK278" s="109"/>
      <c r="AL278" s="109"/>
      <c r="AM278" s="109"/>
      <c r="AN278" s="109"/>
      <c r="AO278" s="109"/>
      <c r="AP278" s="109"/>
      <c r="AQ278" s="109"/>
      <c r="AR278" s="109"/>
      <c r="AS278" s="109"/>
      <c r="AT278" s="109"/>
      <c r="AU278" s="109"/>
      <c r="AV278" s="109"/>
      <c r="AW278" s="109"/>
      <c r="AX278" s="109"/>
      <c r="AY278" s="109"/>
      <c r="AZ278" s="109"/>
      <c r="BA278" s="109"/>
      <c r="BB278" s="109"/>
      <c r="BC278" s="109"/>
      <c r="BD278" s="109"/>
      <c r="BE278" s="109"/>
      <c r="BF278" s="109"/>
      <c r="BG278" s="109"/>
      <c r="BH278" s="109"/>
      <c r="BI278" s="109"/>
      <c r="BJ278" s="109"/>
      <c r="BK278" s="109"/>
      <c r="BL278" s="109"/>
      <c r="BM278" s="109"/>
      <c r="BN278" s="109"/>
      <c r="BO278" s="109"/>
      <c r="BP278" s="109"/>
      <c r="BQ278" s="109"/>
      <c r="BR278" s="109"/>
      <c r="BS278" s="109"/>
      <c r="BT278" s="109"/>
      <c r="BU278" s="109"/>
    </row>
    <row r="279" ht="15.75" customHeight="1">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10"/>
      <c r="X279" s="109"/>
      <c r="Y279" s="109"/>
      <c r="Z279" s="109"/>
      <c r="AA279" s="109"/>
      <c r="AB279" s="109"/>
      <c r="AC279" s="109"/>
      <c r="AD279" s="109"/>
      <c r="AE279" s="109"/>
      <c r="AF279" s="109"/>
      <c r="AG279" s="109"/>
      <c r="AH279" s="109"/>
      <c r="AI279" s="109"/>
      <c r="AJ279" s="109"/>
      <c r="AK279" s="109"/>
      <c r="AL279" s="109"/>
      <c r="AM279" s="109"/>
      <c r="AN279" s="109"/>
      <c r="AO279" s="109"/>
      <c r="AP279" s="109"/>
      <c r="AQ279" s="109"/>
      <c r="AR279" s="109"/>
      <c r="AS279" s="109"/>
      <c r="AT279" s="109"/>
      <c r="AU279" s="109"/>
      <c r="AV279" s="109"/>
      <c r="AW279" s="109"/>
      <c r="AX279" s="109"/>
      <c r="AY279" s="109"/>
      <c r="AZ279" s="109"/>
      <c r="BA279" s="109"/>
      <c r="BB279" s="109"/>
      <c r="BC279" s="109"/>
      <c r="BD279" s="109"/>
      <c r="BE279" s="109"/>
      <c r="BF279" s="109"/>
      <c r="BG279" s="109"/>
      <c r="BH279" s="109"/>
      <c r="BI279" s="109"/>
      <c r="BJ279" s="109"/>
      <c r="BK279" s="109"/>
      <c r="BL279" s="109"/>
      <c r="BM279" s="109"/>
      <c r="BN279" s="109"/>
      <c r="BO279" s="109"/>
      <c r="BP279" s="109"/>
      <c r="BQ279" s="109"/>
      <c r="BR279" s="109"/>
      <c r="BS279" s="109"/>
      <c r="BT279" s="109"/>
      <c r="BU279" s="109"/>
    </row>
    <row r="280" ht="15.75" customHeight="1">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10"/>
      <c r="X280" s="109"/>
      <c r="Y280" s="109"/>
      <c r="Z280" s="109"/>
      <c r="AA280" s="109"/>
      <c r="AB280" s="109"/>
      <c r="AC280" s="109"/>
      <c r="AD280" s="109"/>
      <c r="AE280" s="109"/>
      <c r="AF280" s="109"/>
      <c r="AG280" s="109"/>
      <c r="AH280" s="109"/>
      <c r="AI280" s="109"/>
      <c r="AJ280" s="109"/>
      <c r="AK280" s="109"/>
      <c r="AL280" s="109"/>
      <c r="AM280" s="109"/>
      <c r="AN280" s="109"/>
      <c r="AO280" s="109"/>
      <c r="AP280" s="109"/>
      <c r="AQ280" s="109"/>
      <c r="AR280" s="109"/>
      <c r="AS280" s="109"/>
      <c r="AT280" s="109"/>
      <c r="AU280" s="109"/>
      <c r="AV280" s="109"/>
      <c r="AW280" s="109"/>
      <c r="AX280" s="109"/>
      <c r="AY280" s="109"/>
      <c r="AZ280" s="109"/>
      <c r="BA280" s="109"/>
      <c r="BB280" s="109"/>
      <c r="BC280" s="109"/>
      <c r="BD280" s="109"/>
      <c r="BE280" s="109"/>
      <c r="BF280" s="109"/>
      <c r="BG280" s="109"/>
      <c r="BH280" s="109"/>
      <c r="BI280" s="109"/>
      <c r="BJ280" s="109"/>
      <c r="BK280" s="109"/>
      <c r="BL280" s="109"/>
      <c r="BM280" s="109"/>
      <c r="BN280" s="109"/>
      <c r="BO280" s="109"/>
      <c r="BP280" s="109"/>
      <c r="BQ280" s="109"/>
      <c r="BR280" s="109"/>
      <c r="BS280" s="109"/>
      <c r="BT280" s="109"/>
      <c r="BU280" s="109"/>
    </row>
    <row r="281" ht="15.75" customHeight="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10"/>
      <c r="X281" s="109"/>
      <c r="Y281" s="109"/>
      <c r="Z281" s="109"/>
      <c r="AA281" s="109"/>
      <c r="AB281" s="109"/>
      <c r="AC281" s="109"/>
      <c r="AD281" s="109"/>
      <c r="AE281" s="109"/>
      <c r="AF281" s="109"/>
      <c r="AG281" s="109"/>
      <c r="AH281" s="109"/>
      <c r="AI281" s="109"/>
      <c r="AJ281" s="109"/>
      <c r="AK281" s="109"/>
      <c r="AL281" s="109"/>
      <c r="AM281" s="109"/>
      <c r="AN281" s="109"/>
      <c r="AO281" s="109"/>
      <c r="AP281" s="109"/>
      <c r="AQ281" s="109"/>
      <c r="AR281" s="109"/>
      <c r="AS281" s="109"/>
      <c r="AT281" s="109"/>
      <c r="AU281" s="109"/>
      <c r="AV281" s="109"/>
      <c r="AW281" s="109"/>
      <c r="AX281" s="109"/>
      <c r="AY281" s="109"/>
      <c r="AZ281" s="109"/>
      <c r="BA281" s="109"/>
      <c r="BB281" s="109"/>
      <c r="BC281" s="109"/>
      <c r="BD281" s="109"/>
      <c r="BE281" s="109"/>
      <c r="BF281" s="109"/>
      <c r="BG281" s="109"/>
      <c r="BH281" s="109"/>
      <c r="BI281" s="109"/>
      <c r="BJ281" s="109"/>
      <c r="BK281" s="109"/>
      <c r="BL281" s="109"/>
      <c r="BM281" s="109"/>
      <c r="BN281" s="109"/>
      <c r="BO281" s="109"/>
      <c r="BP281" s="109"/>
      <c r="BQ281" s="109"/>
      <c r="BR281" s="109"/>
      <c r="BS281" s="109"/>
      <c r="BT281" s="109"/>
      <c r="BU281" s="109"/>
    </row>
    <row r="282" ht="15.75" customHeight="1">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10"/>
      <c r="X282" s="109"/>
      <c r="Y282" s="109"/>
      <c r="Z282" s="109"/>
      <c r="AA282" s="109"/>
      <c r="AB282" s="109"/>
      <c r="AC282" s="109"/>
      <c r="AD282" s="109"/>
      <c r="AE282" s="109"/>
      <c r="AF282" s="109"/>
      <c r="AG282" s="109"/>
      <c r="AH282" s="109"/>
      <c r="AI282" s="109"/>
      <c r="AJ282" s="109"/>
      <c r="AK282" s="109"/>
      <c r="AL282" s="109"/>
      <c r="AM282" s="109"/>
      <c r="AN282" s="109"/>
      <c r="AO282" s="109"/>
      <c r="AP282" s="109"/>
      <c r="AQ282" s="109"/>
      <c r="AR282" s="109"/>
      <c r="AS282" s="109"/>
      <c r="AT282" s="109"/>
      <c r="AU282" s="109"/>
      <c r="AV282" s="109"/>
      <c r="AW282" s="109"/>
      <c r="AX282" s="109"/>
      <c r="AY282" s="109"/>
      <c r="AZ282" s="109"/>
      <c r="BA282" s="109"/>
      <c r="BB282" s="109"/>
      <c r="BC282" s="109"/>
      <c r="BD282" s="109"/>
      <c r="BE282" s="109"/>
      <c r="BF282" s="109"/>
      <c r="BG282" s="109"/>
      <c r="BH282" s="109"/>
      <c r="BI282" s="109"/>
      <c r="BJ282" s="109"/>
      <c r="BK282" s="109"/>
      <c r="BL282" s="109"/>
      <c r="BM282" s="109"/>
      <c r="BN282" s="109"/>
      <c r="BO282" s="109"/>
      <c r="BP282" s="109"/>
      <c r="BQ282" s="109"/>
      <c r="BR282" s="109"/>
      <c r="BS282" s="109"/>
      <c r="BT282" s="109"/>
      <c r="BU282" s="109"/>
    </row>
    <row r="283" ht="15.75" customHeight="1">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10"/>
      <c r="X283" s="109"/>
      <c r="Y283" s="109"/>
      <c r="Z283" s="109"/>
      <c r="AA283" s="109"/>
      <c r="AB283" s="109"/>
      <c r="AC283" s="109"/>
      <c r="AD283" s="109"/>
      <c r="AE283" s="109"/>
      <c r="AF283" s="109"/>
      <c r="AG283" s="109"/>
      <c r="AH283" s="109"/>
      <c r="AI283" s="109"/>
      <c r="AJ283" s="109"/>
      <c r="AK283" s="109"/>
      <c r="AL283" s="109"/>
      <c r="AM283" s="109"/>
      <c r="AN283" s="109"/>
      <c r="AO283" s="109"/>
      <c r="AP283" s="109"/>
      <c r="AQ283" s="109"/>
      <c r="AR283" s="109"/>
      <c r="AS283" s="109"/>
      <c r="AT283" s="109"/>
      <c r="AU283" s="109"/>
      <c r="AV283" s="109"/>
      <c r="AW283" s="109"/>
      <c r="AX283" s="109"/>
      <c r="AY283" s="109"/>
      <c r="AZ283" s="109"/>
      <c r="BA283" s="109"/>
      <c r="BB283" s="109"/>
      <c r="BC283" s="109"/>
      <c r="BD283" s="109"/>
      <c r="BE283" s="109"/>
      <c r="BF283" s="109"/>
      <c r="BG283" s="109"/>
      <c r="BH283" s="109"/>
      <c r="BI283" s="109"/>
      <c r="BJ283" s="109"/>
      <c r="BK283" s="109"/>
      <c r="BL283" s="109"/>
      <c r="BM283" s="109"/>
      <c r="BN283" s="109"/>
      <c r="BO283" s="109"/>
      <c r="BP283" s="109"/>
      <c r="BQ283" s="109"/>
      <c r="BR283" s="109"/>
      <c r="BS283" s="109"/>
      <c r="BT283" s="109"/>
      <c r="BU283" s="109"/>
    </row>
    <row r="284" ht="15.75" customHeight="1">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10"/>
      <c r="X284" s="109"/>
      <c r="Y284" s="109"/>
      <c r="Z284" s="109"/>
      <c r="AA284" s="109"/>
      <c r="AB284" s="109"/>
      <c r="AC284" s="109"/>
      <c r="AD284" s="109"/>
      <c r="AE284" s="109"/>
      <c r="AF284" s="109"/>
      <c r="AG284" s="109"/>
      <c r="AH284" s="109"/>
      <c r="AI284" s="109"/>
      <c r="AJ284" s="109"/>
      <c r="AK284" s="109"/>
      <c r="AL284" s="109"/>
      <c r="AM284" s="109"/>
      <c r="AN284" s="109"/>
      <c r="AO284" s="109"/>
      <c r="AP284" s="109"/>
      <c r="AQ284" s="109"/>
      <c r="AR284" s="109"/>
      <c r="AS284" s="109"/>
      <c r="AT284" s="109"/>
      <c r="AU284" s="109"/>
      <c r="AV284" s="109"/>
      <c r="AW284" s="109"/>
      <c r="AX284" s="109"/>
      <c r="AY284" s="109"/>
      <c r="AZ284" s="109"/>
      <c r="BA284" s="109"/>
      <c r="BB284" s="109"/>
      <c r="BC284" s="109"/>
      <c r="BD284" s="109"/>
      <c r="BE284" s="109"/>
      <c r="BF284" s="109"/>
      <c r="BG284" s="109"/>
      <c r="BH284" s="109"/>
      <c r="BI284" s="109"/>
      <c r="BJ284" s="109"/>
      <c r="BK284" s="109"/>
      <c r="BL284" s="109"/>
      <c r="BM284" s="109"/>
      <c r="BN284" s="109"/>
      <c r="BO284" s="109"/>
      <c r="BP284" s="109"/>
      <c r="BQ284" s="109"/>
      <c r="BR284" s="109"/>
      <c r="BS284" s="109"/>
      <c r="BT284" s="109"/>
      <c r="BU284" s="109"/>
    </row>
    <row r="285" ht="15.75" customHeight="1">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10"/>
      <c r="X285" s="109"/>
      <c r="Y285" s="109"/>
      <c r="Z285" s="109"/>
      <c r="AA285" s="109"/>
      <c r="AB285" s="109"/>
      <c r="AC285" s="109"/>
      <c r="AD285" s="109"/>
      <c r="AE285" s="109"/>
      <c r="AF285" s="109"/>
      <c r="AG285" s="109"/>
      <c r="AH285" s="109"/>
      <c r="AI285" s="109"/>
      <c r="AJ285" s="109"/>
      <c r="AK285" s="109"/>
      <c r="AL285" s="109"/>
      <c r="AM285" s="109"/>
      <c r="AN285" s="109"/>
      <c r="AO285" s="109"/>
      <c r="AP285" s="109"/>
      <c r="AQ285" s="109"/>
      <c r="AR285" s="109"/>
      <c r="AS285" s="109"/>
      <c r="AT285" s="109"/>
      <c r="AU285" s="109"/>
      <c r="AV285" s="109"/>
      <c r="AW285" s="109"/>
      <c r="AX285" s="109"/>
      <c r="AY285" s="109"/>
      <c r="AZ285" s="109"/>
      <c r="BA285" s="109"/>
      <c r="BB285" s="109"/>
      <c r="BC285" s="109"/>
      <c r="BD285" s="109"/>
      <c r="BE285" s="109"/>
      <c r="BF285" s="109"/>
      <c r="BG285" s="109"/>
      <c r="BH285" s="109"/>
      <c r="BI285" s="109"/>
      <c r="BJ285" s="109"/>
      <c r="BK285" s="109"/>
      <c r="BL285" s="109"/>
      <c r="BM285" s="109"/>
      <c r="BN285" s="109"/>
      <c r="BO285" s="109"/>
      <c r="BP285" s="109"/>
      <c r="BQ285" s="109"/>
      <c r="BR285" s="109"/>
      <c r="BS285" s="109"/>
      <c r="BT285" s="109"/>
      <c r="BU285" s="109"/>
    </row>
    <row r="286" ht="15.75" customHeight="1">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10"/>
      <c r="X286" s="109"/>
      <c r="Y286" s="109"/>
      <c r="Z286" s="109"/>
      <c r="AA286" s="109"/>
      <c r="AB286" s="109"/>
      <c r="AC286" s="109"/>
      <c r="AD286" s="109"/>
      <c r="AE286" s="109"/>
      <c r="AF286" s="109"/>
      <c r="AG286" s="109"/>
      <c r="AH286" s="109"/>
      <c r="AI286" s="109"/>
      <c r="AJ286" s="109"/>
      <c r="AK286" s="109"/>
      <c r="AL286" s="109"/>
      <c r="AM286" s="109"/>
      <c r="AN286" s="109"/>
      <c r="AO286" s="109"/>
      <c r="AP286" s="109"/>
      <c r="AQ286" s="109"/>
      <c r="AR286" s="109"/>
      <c r="AS286" s="109"/>
      <c r="AT286" s="109"/>
      <c r="AU286" s="109"/>
      <c r="AV286" s="109"/>
      <c r="AW286" s="109"/>
      <c r="AX286" s="109"/>
      <c r="AY286" s="109"/>
      <c r="AZ286" s="109"/>
      <c r="BA286" s="109"/>
      <c r="BB286" s="109"/>
      <c r="BC286" s="109"/>
      <c r="BD286" s="109"/>
      <c r="BE286" s="109"/>
      <c r="BF286" s="109"/>
      <c r="BG286" s="109"/>
      <c r="BH286" s="109"/>
      <c r="BI286" s="109"/>
      <c r="BJ286" s="109"/>
      <c r="BK286" s="109"/>
      <c r="BL286" s="109"/>
      <c r="BM286" s="109"/>
      <c r="BN286" s="109"/>
      <c r="BO286" s="109"/>
      <c r="BP286" s="109"/>
      <c r="BQ286" s="109"/>
      <c r="BR286" s="109"/>
      <c r="BS286" s="109"/>
      <c r="BT286" s="109"/>
      <c r="BU286" s="109"/>
    </row>
    <row r="287" ht="15.75" customHeight="1">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10"/>
      <c r="X287" s="109"/>
      <c r="Y287" s="109"/>
      <c r="Z287" s="109"/>
      <c r="AA287" s="109"/>
      <c r="AB287" s="109"/>
      <c r="AC287" s="109"/>
      <c r="AD287" s="109"/>
      <c r="AE287" s="109"/>
      <c r="AF287" s="109"/>
      <c r="AG287" s="109"/>
      <c r="AH287" s="109"/>
      <c r="AI287" s="109"/>
      <c r="AJ287" s="109"/>
      <c r="AK287" s="109"/>
      <c r="AL287" s="109"/>
      <c r="AM287" s="109"/>
      <c r="AN287" s="109"/>
      <c r="AO287" s="109"/>
      <c r="AP287" s="109"/>
      <c r="AQ287" s="109"/>
      <c r="AR287" s="109"/>
      <c r="AS287" s="109"/>
      <c r="AT287" s="109"/>
      <c r="AU287" s="109"/>
      <c r="AV287" s="109"/>
      <c r="AW287" s="109"/>
      <c r="AX287" s="109"/>
      <c r="AY287" s="109"/>
      <c r="AZ287" s="109"/>
      <c r="BA287" s="109"/>
      <c r="BB287" s="109"/>
      <c r="BC287" s="109"/>
      <c r="BD287" s="109"/>
      <c r="BE287" s="109"/>
      <c r="BF287" s="109"/>
      <c r="BG287" s="109"/>
      <c r="BH287" s="109"/>
      <c r="BI287" s="109"/>
      <c r="BJ287" s="109"/>
      <c r="BK287" s="109"/>
      <c r="BL287" s="109"/>
      <c r="BM287" s="109"/>
      <c r="BN287" s="109"/>
      <c r="BO287" s="109"/>
      <c r="BP287" s="109"/>
      <c r="BQ287" s="109"/>
      <c r="BR287" s="109"/>
      <c r="BS287" s="109"/>
      <c r="BT287" s="109"/>
      <c r="BU287" s="109"/>
    </row>
    <row r="288" ht="15.75" customHeight="1">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10"/>
      <c r="X288" s="109"/>
      <c r="Y288" s="109"/>
      <c r="Z288" s="109"/>
      <c r="AA288" s="109"/>
      <c r="AB288" s="109"/>
      <c r="AC288" s="109"/>
      <c r="AD288" s="109"/>
      <c r="AE288" s="109"/>
      <c r="AF288" s="109"/>
      <c r="AG288" s="109"/>
      <c r="AH288" s="109"/>
      <c r="AI288" s="109"/>
      <c r="AJ288" s="109"/>
      <c r="AK288" s="109"/>
      <c r="AL288" s="109"/>
      <c r="AM288" s="109"/>
      <c r="AN288" s="109"/>
      <c r="AO288" s="109"/>
      <c r="AP288" s="109"/>
      <c r="AQ288" s="109"/>
      <c r="AR288" s="109"/>
      <c r="AS288" s="109"/>
      <c r="AT288" s="109"/>
      <c r="AU288" s="109"/>
      <c r="AV288" s="109"/>
      <c r="AW288" s="109"/>
      <c r="AX288" s="109"/>
      <c r="AY288" s="109"/>
      <c r="AZ288" s="109"/>
      <c r="BA288" s="109"/>
      <c r="BB288" s="109"/>
      <c r="BC288" s="109"/>
      <c r="BD288" s="109"/>
      <c r="BE288" s="109"/>
      <c r="BF288" s="109"/>
      <c r="BG288" s="109"/>
      <c r="BH288" s="109"/>
      <c r="BI288" s="109"/>
      <c r="BJ288" s="109"/>
      <c r="BK288" s="109"/>
      <c r="BL288" s="109"/>
      <c r="BM288" s="109"/>
      <c r="BN288" s="109"/>
      <c r="BO288" s="109"/>
      <c r="BP288" s="109"/>
      <c r="BQ288" s="109"/>
      <c r="BR288" s="109"/>
      <c r="BS288" s="109"/>
      <c r="BT288" s="109"/>
      <c r="BU288" s="109"/>
    </row>
    <row r="289" ht="15.75" customHeight="1">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10"/>
      <c r="X289" s="109"/>
      <c r="Y289" s="109"/>
      <c r="Z289" s="109"/>
      <c r="AA289" s="109"/>
      <c r="AB289" s="109"/>
      <c r="AC289" s="109"/>
      <c r="AD289" s="109"/>
      <c r="AE289" s="109"/>
      <c r="AF289" s="109"/>
      <c r="AG289" s="109"/>
      <c r="AH289" s="109"/>
      <c r="AI289" s="109"/>
      <c r="AJ289" s="109"/>
      <c r="AK289" s="109"/>
      <c r="AL289" s="109"/>
      <c r="AM289" s="109"/>
      <c r="AN289" s="109"/>
      <c r="AO289" s="109"/>
      <c r="AP289" s="109"/>
      <c r="AQ289" s="109"/>
      <c r="AR289" s="109"/>
      <c r="AS289" s="109"/>
      <c r="AT289" s="109"/>
      <c r="AU289" s="109"/>
      <c r="AV289" s="109"/>
      <c r="AW289" s="109"/>
      <c r="AX289" s="109"/>
      <c r="AY289" s="109"/>
      <c r="AZ289" s="109"/>
      <c r="BA289" s="109"/>
      <c r="BB289" s="109"/>
      <c r="BC289" s="109"/>
      <c r="BD289" s="109"/>
      <c r="BE289" s="109"/>
      <c r="BF289" s="109"/>
      <c r="BG289" s="109"/>
      <c r="BH289" s="109"/>
      <c r="BI289" s="109"/>
      <c r="BJ289" s="109"/>
      <c r="BK289" s="109"/>
      <c r="BL289" s="109"/>
      <c r="BM289" s="109"/>
      <c r="BN289" s="109"/>
      <c r="BO289" s="109"/>
      <c r="BP289" s="109"/>
      <c r="BQ289" s="109"/>
      <c r="BR289" s="109"/>
      <c r="BS289" s="109"/>
      <c r="BT289" s="109"/>
      <c r="BU289" s="109"/>
    </row>
    <row r="290" ht="15.75" customHeight="1">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10"/>
      <c r="X290" s="109"/>
      <c r="Y290" s="109"/>
      <c r="Z290" s="109"/>
      <c r="AA290" s="109"/>
      <c r="AB290" s="109"/>
      <c r="AC290" s="109"/>
      <c r="AD290" s="109"/>
      <c r="AE290" s="109"/>
      <c r="AF290" s="109"/>
      <c r="AG290" s="109"/>
      <c r="AH290" s="109"/>
      <c r="AI290" s="109"/>
      <c r="AJ290" s="109"/>
      <c r="AK290" s="109"/>
      <c r="AL290" s="109"/>
      <c r="AM290" s="109"/>
      <c r="AN290" s="109"/>
      <c r="AO290" s="109"/>
      <c r="AP290" s="109"/>
      <c r="AQ290" s="109"/>
      <c r="AR290" s="109"/>
      <c r="AS290" s="109"/>
      <c r="AT290" s="109"/>
      <c r="AU290" s="109"/>
      <c r="AV290" s="109"/>
      <c r="AW290" s="109"/>
      <c r="AX290" s="109"/>
      <c r="AY290" s="109"/>
      <c r="AZ290" s="109"/>
      <c r="BA290" s="109"/>
      <c r="BB290" s="109"/>
      <c r="BC290" s="109"/>
      <c r="BD290" s="109"/>
      <c r="BE290" s="109"/>
      <c r="BF290" s="109"/>
      <c r="BG290" s="109"/>
      <c r="BH290" s="109"/>
      <c r="BI290" s="109"/>
      <c r="BJ290" s="109"/>
      <c r="BK290" s="109"/>
      <c r="BL290" s="109"/>
      <c r="BM290" s="109"/>
      <c r="BN290" s="109"/>
      <c r="BO290" s="109"/>
      <c r="BP290" s="109"/>
      <c r="BQ290" s="109"/>
      <c r="BR290" s="109"/>
      <c r="BS290" s="109"/>
      <c r="BT290" s="109"/>
      <c r="BU290" s="109"/>
    </row>
    <row r="291" ht="15.75" customHeight="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10"/>
      <c r="X291" s="109"/>
      <c r="Y291" s="109"/>
      <c r="Z291" s="109"/>
      <c r="AA291" s="109"/>
      <c r="AB291" s="109"/>
      <c r="AC291" s="109"/>
      <c r="AD291" s="109"/>
      <c r="AE291" s="109"/>
      <c r="AF291" s="109"/>
      <c r="AG291" s="109"/>
      <c r="AH291" s="109"/>
      <c r="AI291" s="109"/>
      <c r="AJ291" s="109"/>
      <c r="AK291" s="109"/>
      <c r="AL291" s="109"/>
      <c r="AM291" s="109"/>
      <c r="AN291" s="109"/>
      <c r="AO291" s="109"/>
      <c r="AP291" s="109"/>
      <c r="AQ291" s="109"/>
      <c r="AR291" s="109"/>
      <c r="AS291" s="109"/>
      <c r="AT291" s="109"/>
      <c r="AU291" s="109"/>
      <c r="AV291" s="109"/>
      <c r="AW291" s="109"/>
      <c r="AX291" s="109"/>
      <c r="AY291" s="109"/>
      <c r="AZ291" s="109"/>
      <c r="BA291" s="109"/>
      <c r="BB291" s="109"/>
      <c r="BC291" s="109"/>
      <c r="BD291" s="109"/>
      <c r="BE291" s="109"/>
      <c r="BF291" s="109"/>
      <c r="BG291" s="109"/>
      <c r="BH291" s="109"/>
      <c r="BI291" s="109"/>
      <c r="BJ291" s="109"/>
      <c r="BK291" s="109"/>
      <c r="BL291" s="109"/>
      <c r="BM291" s="109"/>
      <c r="BN291" s="109"/>
      <c r="BO291" s="109"/>
      <c r="BP291" s="109"/>
      <c r="BQ291" s="109"/>
      <c r="BR291" s="109"/>
      <c r="BS291" s="109"/>
      <c r="BT291" s="109"/>
      <c r="BU291" s="109"/>
    </row>
    <row r="292" ht="15.75" customHeight="1">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10"/>
      <c r="X292" s="109"/>
      <c r="Y292" s="109"/>
      <c r="Z292" s="109"/>
      <c r="AA292" s="109"/>
      <c r="AB292" s="109"/>
      <c r="AC292" s="109"/>
      <c r="AD292" s="109"/>
      <c r="AE292" s="109"/>
      <c r="AF292" s="109"/>
      <c r="AG292" s="109"/>
      <c r="AH292" s="109"/>
      <c r="AI292" s="109"/>
      <c r="AJ292" s="109"/>
      <c r="AK292" s="109"/>
      <c r="AL292" s="109"/>
      <c r="AM292" s="109"/>
      <c r="AN292" s="109"/>
      <c r="AO292" s="109"/>
      <c r="AP292" s="109"/>
      <c r="AQ292" s="109"/>
      <c r="AR292" s="109"/>
      <c r="AS292" s="109"/>
      <c r="AT292" s="109"/>
      <c r="AU292" s="109"/>
      <c r="AV292" s="109"/>
      <c r="AW292" s="109"/>
      <c r="AX292" s="109"/>
      <c r="AY292" s="109"/>
      <c r="AZ292" s="109"/>
      <c r="BA292" s="109"/>
      <c r="BB292" s="109"/>
      <c r="BC292" s="109"/>
      <c r="BD292" s="109"/>
      <c r="BE292" s="109"/>
      <c r="BF292" s="109"/>
      <c r="BG292" s="109"/>
      <c r="BH292" s="109"/>
      <c r="BI292" s="109"/>
      <c r="BJ292" s="109"/>
      <c r="BK292" s="109"/>
      <c r="BL292" s="109"/>
      <c r="BM292" s="109"/>
      <c r="BN292" s="109"/>
      <c r="BO292" s="109"/>
      <c r="BP292" s="109"/>
      <c r="BQ292" s="109"/>
      <c r="BR292" s="109"/>
      <c r="BS292" s="109"/>
      <c r="BT292" s="109"/>
      <c r="BU292" s="109"/>
    </row>
    <row r="293" ht="15.75" customHeight="1">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10"/>
      <c r="X293" s="109"/>
      <c r="Y293" s="109"/>
      <c r="Z293" s="109"/>
      <c r="AA293" s="109"/>
      <c r="AB293" s="109"/>
      <c r="AC293" s="109"/>
      <c r="AD293" s="109"/>
      <c r="AE293" s="109"/>
      <c r="AF293" s="109"/>
      <c r="AG293" s="109"/>
      <c r="AH293" s="109"/>
      <c r="AI293" s="109"/>
      <c r="AJ293" s="109"/>
      <c r="AK293" s="109"/>
      <c r="AL293" s="109"/>
      <c r="AM293" s="109"/>
      <c r="AN293" s="109"/>
      <c r="AO293" s="109"/>
      <c r="AP293" s="109"/>
      <c r="AQ293" s="109"/>
      <c r="AR293" s="109"/>
      <c r="AS293" s="109"/>
      <c r="AT293" s="109"/>
      <c r="AU293" s="109"/>
      <c r="AV293" s="109"/>
      <c r="AW293" s="109"/>
      <c r="AX293" s="109"/>
      <c r="AY293" s="109"/>
      <c r="AZ293" s="109"/>
      <c r="BA293" s="109"/>
      <c r="BB293" s="109"/>
      <c r="BC293" s="109"/>
      <c r="BD293" s="109"/>
      <c r="BE293" s="109"/>
      <c r="BF293" s="109"/>
      <c r="BG293" s="109"/>
      <c r="BH293" s="109"/>
      <c r="BI293" s="109"/>
      <c r="BJ293" s="109"/>
      <c r="BK293" s="109"/>
      <c r="BL293" s="109"/>
      <c r="BM293" s="109"/>
      <c r="BN293" s="109"/>
      <c r="BO293" s="109"/>
      <c r="BP293" s="109"/>
      <c r="BQ293" s="109"/>
      <c r="BR293" s="109"/>
      <c r="BS293" s="109"/>
      <c r="BT293" s="109"/>
      <c r="BU293" s="109"/>
    </row>
    <row r="294" ht="15.75" customHeight="1">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10"/>
      <c r="X294" s="109"/>
      <c r="Y294" s="109"/>
      <c r="Z294" s="109"/>
      <c r="AA294" s="109"/>
      <c r="AB294" s="109"/>
      <c r="AC294" s="109"/>
      <c r="AD294" s="109"/>
      <c r="AE294" s="109"/>
      <c r="AF294" s="109"/>
      <c r="AG294" s="109"/>
      <c r="AH294" s="109"/>
      <c r="AI294" s="109"/>
      <c r="AJ294" s="109"/>
      <c r="AK294" s="109"/>
      <c r="AL294" s="109"/>
      <c r="AM294" s="109"/>
      <c r="AN294" s="109"/>
      <c r="AO294" s="109"/>
      <c r="AP294" s="109"/>
      <c r="AQ294" s="109"/>
      <c r="AR294" s="109"/>
      <c r="AS294" s="109"/>
      <c r="AT294" s="109"/>
      <c r="AU294" s="109"/>
      <c r="AV294" s="109"/>
      <c r="AW294" s="109"/>
      <c r="AX294" s="109"/>
      <c r="AY294" s="109"/>
      <c r="AZ294" s="109"/>
      <c r="BA294" s="109"/>
      <c r="BB294" s="109"/>
      <c r="BC294" s="109"/>
      <c r="BD294" s="109"/>
      <c r="BE294" s="109"/>
      <c r="BF294" s="109"/>
      <c r="BG294" s="109"/>
      <c r="BH294" s="109"/>
      <c r="BI294" s="109"/>
      <c r="BJ294" s="109"/>
      <c r="BK294" s="109"/>
      <c r="BL294" s="109"/>
      <c r="BM294" s="109"/>
      <c r="BN294" s="109"/>
      <c r="BO294" s="109"/>
      <c r="BP294" s="109"/>
      <c r="BQ294" s="109"/>
      <c r="BR294" s="109"/>
      <c r="BS294" s="109"/>
      <c r="BT294" s="109"/>
      <c r="BU294" s="109"/>
    </row>
    <row r="295" ht="15.75" customHeight="1">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10"/>
      <c r="X295" s="109"/>
      <c r="Y295" s="109"/>
      <c r="Z295" s="109"/>
      <c r="AA295" s="109"/>
      <c r="AB295" s="109"/>
      <c r="AC295" s="109"/>
      <c r="AD295" s="109"/>
      <c r="AE295" s="109"/>
      <c r="AF295" s="109"/>
      <c r="AG295" s="109"/>
      <c r="AH295" s="109"/>
      <c r="AI295" s="109"/>
      <c r="AJ295" s="109"/>
      <c r="AK295" s="109"/>
      <c r="AL295" s="109"/>
      <c r="AM295" s="109"/>
      <c r="AN295" s="109"/>
      <c r="AO295" s="109"/>
      <c r="AP295" s="109"/>
      <c r="AQ295" s="109"/>
      <c r="AR295" s="109"/>
      <c r="AS295" s="109"/>
      <c r="AT295" s="109"/>
      <c r="AU295" s="109"/>
      <c r="AV295" s="109"/>
      <c r="AW295" s="109"/>
      <c r="AX295" s="109"/>
      <c r="AY295" s="109"/>
      <c r="AZ295" s="109"/>
      <c r="BA295" s="109"/>
      <c r="BB295" s="109"/>
      <c r="BC295" s="109"/>
      <c r="BD295" s="109"/>
      <c r="BE295" s="109"/>
      <c r="BF295" s="109"/>
      <c r="BG295" s="109"/>
      <c r="BH295" s="109"/>
      <c r="BI295" s="109"/>
      <c r="BJ295" s="109"/>
      <c r="BK295" s="109"/>
      <c r="BL295" s="109"/>
      <c r="BM295" s="109"/>
      <c r="BN295" s="109"/>
      <c r="BO295" s="109"/>
      <c r="BP295" s="109"/>
      <c r="BQ295" s="109"/>
      <c r="BR295" s="109"/>
      <c r="BS295" s="109"/>
      <c r="BT295" s="109"/>
      <c r="BU295" s="109"/>
    </row>
    <row r="296" ht="15.75" customHeight="1">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10"/>
      <c r="X296" s="109"/>
      <c r="Y296" s="109"/>
      <c r="Z296" s="109"/>
      <c r="AA296" s="109"/>
      <c r="AB296" s="109"/>
      <c r="AC296" s="109"/>
      <c r="AD296" s="109"/>
      <c r="AE296" s="109"/>
      <c r="AF296" s="109"/>
      <c r="AG296" s="109"/>
      <c r="AH296" s="109"/>
      <c r="AI296" s="109"/>
      <c r="AJ296" s="109"/>
      <c r="AK296" s="109"/>
      <c r="AL296" s="109"/>
      <c r="AM296" s="109"/>
      <c r="AN296" s="109"/>
      <c r="AO296" s="109"/>
      <c r="AP296" s="109"/>
      <c r="AQ296" s="109"/>
      <c r="AR296" s="109"/>
      <c r="AS296" s="109"/>
      <c r="AT296" s="109"/>
      <c r="AU296" s="109"/>
      <c r="AV296" s="109"/>
      <c r="AW296" s="109"/>
      <c r="AX296" s="109"/>
      <c r="AY296" s="109"/>
      <c r="AZ296" s="109"/>
      <c r="BA296" s="109"/>
      <c r="BB296" s="109"/>
      <c r="BC296" s="109"/>
      <c r="BD296" s="109"/>
      <c r="BE296" s="109"/>
      <c r="BF296" s="109"/>
      <c r="BG296" s="109"/>
      <c r="BH296" s="109"/>
      <c r="BI296" s="109"/>
      <c r="BJ296" s="109"/>
      <c r="BK296" s="109"/>
      <c r="BL296" s="109"/>
      <c r="BM296" s="109"/>
      <c r="BN296" s="109"/>
      <c r="BO296" s="109"/>
      <c r="BP296" s="109"/>
      <c r="BQ296" s="109"/>
      <c r="BR296" s="109"/>
      <c r="BS296" s="109"/>
      <c r="BT296" s="109"/>
      <c r="BU296" s="109"/>
    </row>
    <row r="297" ht="15.75" customHeight="1">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10"/>
      <c r="X297" s="109"/>
      <c r="Y297" s="109"/>
      <c r="Z297" s="109"/>
      <c r="AA297" s="109"/>
      <c r="AB297" s="109"/>
      <c r="AC297" s="109"/>
      <c r="AD297" s="109"/>
      <c r="AE297" s="109"/>
      <c r="AF297" s="109"/>
      <c r="AG297" s="109"/>
      <c r="AH297" s="109"/>
      <c r="AI297" s="109"/>
      <c r="AJ297" s="109"/>
      <c r="AK297" s="109"/>
      <c r="AL297" s="109"/>
      <c r="AM297" s="109"/>
      <c r="AN297" s="109"/>
      <c r="AO297" s="109"/>
      <c r="AP297" s="109"/>
      <c r="AQ297" s="109"/>
      <c r="AR297" s="109"/>
      <c r="AS297" s="109"/>
      <c r="AT297" s="109"/>
      <c r="AU297" s="109"/>
      <c r="AV297" s="109"/>
      <c r="AW297" s="109"/>
      <c r="AX297" s="109"/>
      <c r="AY297" s="109"/>
      <c r="AZ297" s="109"/>
      <c r="BA297" s="109"/>
      <c r="BB297" s="109"/>
      <c r="BC297" s="109"/>
      <c r="BD297" s="109"/>
      <c r="BE297" s="109"/>
      <c r="BF297" s="109"/>
      <c r="BG297" s="109"/>
      <c r="BH297" s="109"/>
      <c r="BI297" s="109"/>
      <c r="BJ297" s="109"/>
      <c r="BK297" s="109"/>
      <c r="BL297" s="109"/>
      <c r="BM297" s="109"/>
      <c r="BN297" s="109"/>
      <c r="BO297" s="109"/>
      <c r="BP297" s="109"/>
      <c r="BQ297" s="109"/>
      <c r="BR297" s="109"/>
      <c r="BS297" s="109"/>
      <c r="BT297" s="109"/>
      <c r="BU297" s="109"/>
    </row>
    <row r="298" ht="15.75" customHeight="1">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10"/>
      <c r="X298" s="109"/>
      <c r="Y298" s="109"/>
      <c r="Z298" s="109"/>
      <c r="AA298" s="109"/>
      <c r="AB298" s="109"/>
      <c r="AC298" s="109"/>
      <c r="AD298" s="109"/>
      <c r="AE298" s="109"/>
      <c r="AF298" s="109"/>
      <c r="AG298" s="109"/>
      <c r="AH298" s="109"/>
      <c r="AI298" s="109"/>
      <c r="AJ298" s="109"/>
      <c r="AK298" s="109"/>
      <c r="AL298" s="109"/>
      <c r="AM298" s="109"/>
      <c r="AN298" s="109"/>
      <c r="AO298" s="109"/>
      <c r="AP298" s="109"/>
      <c r="AQ298" s="109"/>
      <c r="AR298" s="109"/>
      <c r="AS298" s="109"/>
      <c r="AT298" s="109"/>
      <c r="AU298" s="109"/>
      <c r="AV298" s="109"/>
      <c r="AW298" s="109"/>
      <c r="AX298" s="109"/>
      <c r="AY298" s="109"/>
      <c r="AZ298" s="109"/>
      <c r="BA298" s="109"/>
      <c r="BB298" s="109"/>
      <c r="BC298" s="109"/>
      <c r="BD298" s="109"/>
      <c r="BE298" s="109"/>
      <c r="BF298" s="109"/>
      <c r="BG298" s="109"/>
      <c r="BH298" s="109"/>
      <c r="BI298" s="109"/>
      <c r="BJ298" s="109"/>
      <c r="BK298" s="109"/>
      <c r="BL298" s="109"/>
      <c r="BM298" s="109"/>
      <c r="BN298" s="109"/>
      <c r="BO298" s="109"/>
      <c r="BP298" s="109"/>
      <c r="BQ298" s="109"/>
      <c r="BR298" s="109"/>
      <c r="BS298" s="109"/>
      <c r="BT298" s="109"/>
      <c r="BU298" s="109"/>
    </row>
    <row r="299" ht="15.75" customHeight="1">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10"/>
      <c r="X299" s="109"/>
      <c r="Y299" s="109"/>
      <c r="Z299" s="109"/>
      <c r="AA299" s="109"/>
      <c r="AB299" s="109"/>
      <c r="AC299" s="109"/>
      <c r="AD299" s="109"/>
      <c r="AE299" s="109"/>
      <c r="AF299" s="109"/>
      <c r="AG299" s="109"/>
      <c r="AH299" s="109"/>
      <c r="AI299" s="109"/>
      <c r="AJ299" s="109"/>
      <c r="AK299" s="109"/>
      <c r="AL299" s="109"/>
      <c r="AM299" s="109"/>
      <c r="AN299" s="109"/>
      <c r="AO299" s="109"/>
      <c r="AP299" s="109"/>
      <c r="AQ299" s="109"/>
      <c r="AR299" s="109"/>
      <c r="AS299" s="109"/>
      <c r="AT299" s="109"/>
      <c r="AU299" s="109"/>
      <c r="AV299" s="109"/>
      <c r="AW299" s="109"/>
      <c r="AX299" s="109"/>
      <c r="AY299" s="109"/>
      <c r="AZ299" s="109"/>
      <c r="BA299" s="109"/>
      <c r="BB299" s="109"/>
      <c r="BC299" s="109"/>
      <c r="BD299" s="109"/>
      <c r="BE299" s="109"/>
      <c r="BF299" s="109"/>
      <c r="BG299" s="109"/>
      <c r="BH299" s="109"/>
      <c r="BI299" s="109"/>
      <c r="BJ299" s="109"/>
      <c r="BK299" s="109"/>
      <c r="BL299" s="109"/>
      <c r="BM299" s="109"/>
      <c r="BN299" s="109"/>
      <c r="BO299" s="109"/>
      <c r="BP299" s="109"/>
      <c r="BQ299" s="109"/>
      <c r="BR299" s="109"/>
      <c r="BS299" s="109"/>
      <c r="BT299" s="109"/>
      <c r="BU299" s="109"/>
    </row>
    <row r="300" ht="15.75" customHeight="1">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10"/>
      <c r="X300" s="109"/>
      <c r="Y300" s="109"/>
      <c r="Z300" s="109"/>
      <c r="AA300" s="109"/>
      <c r="AB300" s="109"/>
      <c r="AC300" s="109"/>
      <c r="AD300" s="109"/>
      <c r="AE300" s="109"/>
      <c r="AF300" s="109"/>
      <c r="AG300" s="109"/>
      <c r="AH300" s="109"/>
      <c r="AI300" s="109"/>
      <c r="AJ300" s="109"/>
      <c r="AK300" s="109"/>
      <c r="AL300" s="109"/>
      <c r="AM300" s="109"/>
      <c r="AN300" s="109"/>
      <c r="AO300" s="109"/>
      <c r="AP300" s="109"/>
      <c r="AQ300" s="109"/>
      <c r="AR300" s="109"/>
      <c r="AS300" s="109"/>
      <c r="AT300" s="109"/>
      <c r="AU300" s="109"/>
      <c r="AV300" s="109"/>
      <c r="AW300" s="109"/>
      <c r="AX300" s="109"/>
      <c r="AY300" s="109"/>
      <c r="AZ300" s="109"/>
      <c r="BA300" s="109"/>
      <c r="BB300" s="109"/>
      <c r="BC300" s="109"/>
      <c r="BD300" s="109"/>
      <c r="BE300" s="109"/>
      <c r="BF300" s="109"/>
      <c r="BG300" s="109"/>
      <c r="BH300" s="109"/>
      <c r="BI300" s="109"/>
      <c r="BJ300" s="109"/>
      <c r="BK300" s="109"/>
      <c r="BL300" s="109"/>
      <c r="BM300" s="109"/>
      <c r="BN300" s="109"/>
      <c r="BO300" s="109"/>
      <c r="BP300" s="109"/>
      <c r="BQ300" s="109"/>
      <c r="BR300" s="109"/>
      <c r="BS300" s="109"/>
      <c r="BT300" s="109"/>
      <c r="BU300" s="109"/>
    </row>
    <row r="301" ht="15.75" customHeight="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10"/>
      <c r="X301" s="109"/>
      <c r="Y301" s="109"/>
      <c r="Z301" s="109"/>
      <c r="AA301" s="109"/>
      <c r="AB301" s="109"/>
      <c r="AC301" s="109"/>
      <c r="AD301" s="109"/>
      <c r="AE301" s="109"/>
      <c r="AF301" s="109"/>
      <c r="AG301" s="109"/>
      <c r="AH301" s="109"/>
      <c r="AI301" s="109"/>
      <c r="AJ301" s="109"/>
      <c r="AK301" s="109"/>
      <c r="AL301" s="109"/>
      <c r="AM301" s="109"/>
      <c r="AN301" s="109"/>
      <c r="AO301" s="109"/>
      <c r="AP301" s="109"/>
      <c r="AQ301" s="109"/>
      <c r="AR301" s="109"/>
      <c r="AS301" s="109"/>
      <c r="AT301" s="109"/>
      <c r="AU301" s="109"/>
      <c r="AV301" s="109"/>
      <c r="AW301" s="109"/>
      <c r="AX301" s="109"/>
      <c r="AY301" s="109"/>
      <c r="AZ301" s="109"/>
      <c r="BA301" s="109"/>
      <c r="BB301" s="109"/>
      <c r="BC301" s="109"/>
      <c r="BD301" s="109"/>
      <c r="BE301" s="109"/>
      <c r="BF301" s="109"/>
      <c r="BG301" s="109"/>
      <c r="BH301" s="109"/>
      <c r="BI301" s="109"/>
      <c r="BJ301" s="109"/>
      <c r="BK301" s="109"/>
      <c r="BL301" s="109"/>
      <c r="BM301" s="109"/>
      <c r="BN301" s="109"/>
      <c r="BO301" s="109"/>
      <c r="BP301" s="109"/>
      <c r="BQ301" s="109"/>
      <c r="BR301" s="109"/>
      <c r="BS301" s="109"/>
      <c r="BT301" s="109"/>
      <c r="BU301" s="109"/>
    </row>
    <row r="302" ht="15.75" customHeight="1">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10"/>
      <c r="X302" s="109"/>
      <c r="Y302" s="109"/>
      <c r="Z302" s="109"/>
      <c r="AA302" s="109"/>
      <c r="AB302" s="109"/>
      <c r="AC302" s="109"/>
      <c r="AD302" s="109"/>
      <c r="AE302" s="109"/>
      <c r="AF302" s="109"/>
      <c r="AG302" s="109"/>
      <c r="AH302" s="109"/>
      <c r="AI302" s="109"/>
      <c r="AJ302" s="109"/>
      <c r="AK302" s="109"/>
      <c r="AL302" s="109"/>
      <c r="AM302" s="109"/>
      <c r="AN302" s="109"/>
      <c r="AO302" s="109"/>
      <c r="AP302" s="109"/>
      <c r="AQ302" s="109"/>
      <c r="AR302" s="109"/>
      <c r="AS302" s="109"/>
      <c r="AT302" s="109"/>
      <c r="AU302" s="109"/>
      <c r="AV302" s="109"/>
      <c r="AW302" s="109"/>
      <c r="AX302" s="109"/>
      <c r="AY302" s="109"/>
      <c r="AZ302" s="109"/>
      <c r="BA302" s="109"/>
      <c r="BB302" s="109"/>
      <c r="BC302" s="109"/>
      <c r="BD302" s="109"/>
      <c r="BE302" s="109"/>
      <c r="BF302" s="109"/>
      <c r="BG302" s="109"/>
      <c r="BH302" s="109"/>
      <c r="BI302" s="109"/>
      <c r="BJ302" s="109"/>
      <c r="BK302" s="109"/>
      <c r="BL302" s="109"/>
      <c r="BM302" s="109"/>
      <c r="BN302" s="109"/>
      <c r="BO302" s="109"/>
      <c r="BP302" s="109"/>
      <c r="BQ302" s="109"/>
      <c r="BR302" s="109"/>
      <c r="BS302" s="109"/>
      <c r="BT302" s="109"/>
      <c r="BU302" s="109"/>
    </row>
    <row r="303" ht="15.75" customHeight="1">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10"/>
      <c r="X303" s="109"/>
      <c r="Y303" s="109"/>
      <c r="Z303" s="109"/>
      <c r="AA303" s="109"/>
      <c r="AB303" s="109"/>
      <c r="AC303" s="109"/>
      <c r="AD303" s="109"/>
      <c r="AE303" s="109"/>
      <c r="AF303" s="109"/>
      <c r="AG303" s="109"/>
      <c r="AH303" s="109"/>
      <c r="AI303" s="109"/>
      <c r="AJ303" s="109"/>
      <c r="AK303" s="109"/>
      <c r="AL303" s="109"/>
      <c r="AM303" s="109"/>
      <c r="AN303" s="109"/>
      <c r="AO303" s="109"/>
      <c r="AP303" s="109"/>
      <c r="AQ303" s="109"/>
      <c r="AR303" s="109"/>
      <c r="AS303" s="109"/>
      <c r="AT303" s="109"/>
      <c r="AU303" s="109"/>
      <c r="AV303" s="109"/>
      <c r="AW303" s="109"/>
      <c r="AX303" s="109"/>
      <c r="AY303" s="109"/>
      <c r="AZ303" s="109"/>
      <c r="BA303" s="109"/>
      <c r="BB303" s="109"/>
      <c r="BC303" s="109"/>
      <c r="BD303" s="109"/>
      <c r="BE303" s="109"/>
      <c r="BF303" s="109"/>
      <c r="BG303" s="109"/>
      <c r="BH303" s="109"/>
      <c r="BI303" s="109"/>
      <c r="BJ303" s="109"/>
      <c r="BK303" s="109"/>
      <c r="BL303" s="109"/>
      <c r="BM303" s="109"/>
      <c r="BN303" s="109"/>
      <c r="BO303" s="109"/>
      <c r="BP303" s="109"/>
      <c r="BQ303" s="109"/>
      <c r="BR303" s="109"/>
      <c r="BS303" s="109"/>
      <c r="BT303" s="109"/>
      <c r="BU303" s="109"/>
    </row>
    <row r="304" ht="15.75" customHeight="1">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10"/>
      <c r="X304" s="109"/>
      <c r="Y304" s="109"/>
      <c r="Z304" s="109"/>
      <c r="AA304" s="109"/>
      <c r="AB304" s="109"/>
      <c r="AC304" s="109"/>
      <c r="AD304" s="109"/>
      <c r="AE304" s="109"/>
      <c r="AF304" s="109"/>
      <c r="AG304" s="109"/>
      <c r="AH304" s="109"/>
      <c r="AI304" s="109"/>
      <c r="AJ304" s="109"/>
      <c r="AK304" s="109"/>
      <c r="AL304" s="109"/>
      <c r="AM304" s="109"/>
      <c r="AN304" s="109"/>
      <c r="AO304" s="109"/>
      <c r="AP304" s="109"/>
      <c r="AQ304" s="109"/>
      <c r="AR304" s="109"/>
      <c r="AS304" s="109"/>
      <c r="AT304" s="109"/>
      <c r="AU304" s="109"/>
      <c r="AV304" s="109"/>
      <c r="AW304" s="109"/>
      <c r="AX304" s="109"/>
      <c r="AY304" s="109"/>
      <c r="AZ304" s="109"/>
      <c r="BA304" s="109"/>
      <c r="BB304" s="109"/>
      <c r="BC304" s="109"/>
      <c r="BD304" s="109"/>
      <c r="BE304" s="109"/>
      <c r="BF304" s="109"/>
      <c r="BG304" s="109"/>
      <c r="BH304" s="109"/>
      <c r="BI304" s="109"/>
      <c r="BJ304" s="109"/>
      <c r="BK304" s="109"/>
      <c r="BL304" s="109"/>
      <c r="BM304" s="109"/>
      <c r="BN304" s="109"/>
      <c r="BO304" s="109"/>
      <c r="BP304" s="109"/>
      <c r="BQ304" s="109"/>
      <c r="BR304" s="109"/>
      <c r="BS304" s="109"/>
      <c r="BT304" s="109"/>
      <c r="BU304" s="109"/>
    </row>
    <row r="305" ht="15.75" customHeight="1">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10"/>
      <c r="X305" s="109"/>
      <c r="Y305" s="109"/>
      <c r="Z305" s="109"/>
      <c r="AA305" s="109"/>
      <c r="AB305" s="109"/>
      <c r="AC305" s="109"/>
      <c r="AD305" s="109"/>
      <c r="AE305" s="109"/>
      <c r="AF305" s="109"/>
      <c r="AG305" s="109"/>
      <c r="AH305" s="109"/>
      <c r="AI305" s="109"/>
      <c r="AJ305" s="109"/>
      <c r="AK305" s="109"/>
      <c r="AL305" s="109"/>
      <c r="AM305" s="109"/>
      <c r="AN305" s="109"/>
      <c r="AO305" s="109"/>
      <c r="AP305" s="109"/>
      <c r="AQ305" s="109"/>
      <c r="AR305" s="109"/>
      <c r="AS305" s="109"/>
      <c r="AT305" s="109"/>
      <c r="AU305" s="109"/>
      <c r="AV305" s="109"/>
      <c r="AW305" s="109"/>
      <c r="AX305" s="109"/>
      <c r="AY305" s="109"/>
      <c r="AZ305" s="109"/>
      <c r="BA305" s="109"/>
      <c r="BB305" s="109"/>
      <c r="BC305" s="109"/>
      <c r="BD305" s="109"/>
      <c r="BE305" s="109"/>
      <c r="BF305" s="109"/>
      <c r="BG305" s="109"/>
      <c r="BH305" s="109"/>
      <c r="BI305" s="109"/>
      <c r="BJ305" s="109"/>
      <c r="BK305" s="109"/>
      <c r="BL305" s="109"/>
      <c r="BM305" s="109"/>
      <c r="BN305" s="109"/>
      <c r="BO305" s="109"/>
      <c r="BP305" s="109"/>
      <c r="BQ305" s="109"/>
      <c r="BR305" s="109"/>
      <c r="BS305" s="109"/>
      <c r="BT305" s="109"/>
      <c r="BU305" s="109"/>
    </row>
    <row r="306" ht="15.75" customHeight="1">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10"/>
      <c r="X306" s="109"/>
      <c r="Y306" s="109"/>
      <c r="Z306" s="109"/>
      <c r="AA306" s="109"/>
      <c r="AB306" s="109"/>
      <c r="AC306" s="109"/>
      <c r="AD306" s="109"/>
      <c r="AE306" s="109"/>
      <c r="AF306" s="109"/>
      <c r="AG306" s="109"/>
      <c r="AH306" s="109"/>
      <c r="AI306" s="109"/>
      <c r="AJ306" s="109"/>
      <c r="AK306" s="109"/>
      <c r="AL306" s="109"/>
      <c r="AM306" s="109"/>
      <c r="AN306" s="109"/>
      <c r="AO306" s="109"/>
      <c r="AP306" s="109"/>
      <c r="AQ306" s="109"/>
      <c r="AR306" s="109"/>
      <c r="AS306" s="109"/>
      <c r="AT306" s="109"/>
      <c r="AU306" s="109"/>
      <c r="AV306" s="109"/>
      <c r="AW306" s="109"/>
      <c r="AX306" s="109"/>
      <c r="AY306" s="109"/>
      <c r="AZ306" s="109"/>
      <c r="BA306" s="109"/>
      <c r="BB306" s="109"/>
      <c r="BC306" s="109"/>
      <c r="BD306" s="109"/>
      <c r="BE306" s="109"/>
      <c r="BF306" s="109"/>
      <c r="BG306" s="109"/>
      <c r="BH306" s="109"/>
      <c r="BI306" s="109"/>
      <c r="BJ306" s="109"/>
      <c r="BK306" s="109"/>
      <c r="BL306" s="109"/>
      <c r="BM306" s="109"/>
      <c r="BN306" s="109"/>
      <c r="BO306" s="109"/>
      <c r="BP306" s="109"/>
      <c r="BQ306" s="109"/>
      <c r="BR306" s="109"/>
      <c r="BS306" s="109"/>
      <c r="BT306" s="109"/>
      <c r="BU306" s="109"/>
    </row>
    <row r="307" ht="15.75" customHeight="1">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10"/>
      <c r="X307" s="109"/>
      <c r="Y307" s="109"/>
      <c r="Z307" s="109"/>
      <c r="AA307" s="109"/>
      <c r="AB307" s="109"/>
      <c r="AC307" s="109"/>
      <c r="AD307" s="109"/>
      <c r="AE307" s="109"/>
      <c r="AF307" s="109"/>
      <c r="AG307" s="109"/>
      <c r="AH307" s="109"/>
      <c r="AI307" s="109"/>
      <c r="AJ307" s="109"/>
      <c r="AK307" s="109"/>
      <c r="AL307" s="109"/>
      <c r="AM307" s="109"/>
      <c r="AN307" s="109"/>
      <c r="AO307" s="109"/>
      <c r="AP307" s="109"/>
      <c r="AQ307" s="109"/>
      <c r="AR307" s="109"/>
      <c r="AS307" s="109"/>
      <c r="AT307" s="109"/>
      <c r="AU307" s="109"/>
      <c r="AV307" s="109"/>
      <c r="AW307" s="109"/>
      <c r="AX307" s="109"/>
      <c r="AY307" s="109"/>
      <c r="AZ307" s="109"/>
      <c r="BA307" s="109"/>
      <c r="BB307" s="109"/>
      <c r="BC307" s="109"/>
      <c r="BD307" s="109"/>
      <c r="BE307" s="109"/>
      <c r="BF307" s="109"/>
      <c r="BG307" s="109"/>
      <c r="BH307" s="109"/>
      <c r="BI307" s="109"/>
      <c r="BJ307" s="109"/>
      <c r="BK307" s="109"/>
      <c r="BL307" s="109"/>
      <c r="BM307" s="109"/>
      <c r="BN307" s="109"/>
      <c r="BO307" s="109"/>
      <c r="BP307" s="109"/>
      <c r="BQ307" s="109"/>
      <c r="BR307" s="109"/>
      <c r="BS307" s="109"/>
      <c r="BT307" s="109"/>
      <c r="BU307" s="109"/>
    </row>
    <row r="308" ht="15.75" customHeight="1">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10"/>
      <c r="X308" s="109"/>
      <c r="Y308" s="109"/>
      <c r="Z308" s="109"/>
      <c r="AA308" s="109"/>
      <c r="AB308" s="109"/>
      <c r="AC308" s="109"/>
      <c r="AD308" s="109"/>
      <c r="AE308" s="109"/>
      <c r="AF308" s="109"/>
      <c r="AG308" s="109"/>
      <c r="AH308" s="109"/>
      <c r="AI308" s="109"/>
      <c r="AJ308" s="109"/>
      <c r="AK308" s="109"/>
      <c r="AL308" s="109"/>
      <c r="AM308" s="109"/>
      <c r="AN308" s="109"/>
      <c r="AO308" s="109"/>
      <c r="AP308" s="109"/>
      <c r="AQ308" s="109"/>
      <c r="AR308" s="109"/>
      <c r="AS308" s="109"/>
      <c r="AT308" s="109"/>
      <c r="AU308" s="109"/>
      <c r="AV308" s="109"/>
      <c r="AW308" s="109"/>
      <c r="AX308" s="109"/>
      <c r="AY308" s="109"/>
      <c r="AZ308" s="109"/>
      <c r="BA308" s="109"/>
      <c r="BB308" s="109"/>
      <c r="BC308" s="109"/>
      <c r="BD308" s="109"/>
      <c r="BE308" s="109"/>
      <c r="BF308" s="109"/>
      <c r="BG308" s="109"/>
      <c r="BH308" s="109"/>
      <c r="BI308" s="109"/>
      <c r="BJ308" s="109"/>
      <c r="BK308" s="109"/>
      <c r="BL308" s="109"/>
      <c r="BM308" s="109"/>
      <c r="BN308" s="109"/>
      <c r="BO308" s="109"/>
      <c r="BP308" s="109"/>
      <c r="BQ308" s="109"/>
      <c r="BR308" s="109"/>
      <c r="BS308" s="109"/>
      <c r="BT308" s="109"/>
      <c r="BU308" s="109"/>
    </row>
    <row r="309" ht="15.75" customHeight="1">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10"/>
      <c r="X309" s="109"/>
      <c r="Y309" s="109"/>
      <c r="Z309" s="109"/>
      <c r="AA309" s="109"/>
      <c r="AB309" s="109"/>
      <c r="AC309" s="109"/>
      <c r="AD309" s="109"/>
      <c r="AE309" s="109"/>
      <c r="AF309" s="109"/>
      <c r="AG309" s="109"/>
      <c r="AH309" s="109"/>
      <c r="AI309" s="109"/>
      <c r="AJ309" s="109"/>
      <c r="AK309" s="109"/>
      <c r="AL309" s="109"/>
      <c r="AM309" s="109"/>
      <c r="AN309" s="109"/>
      <c r="AO309" s="109"/>
      <c r="AP309" s="109"/>
      <c r="AQ309" s="109"/>
      <c r="AR309" s="109"/>
      <c r="AS309" s="109"/>
      <c r="AT309" s="109"/>
      <c r="AU309" s="109"/>
      <c r="AV309" s="109"/>
      <c r="AW309" s="109"/>
      <c r="AX309" s="109"/>
      <c r="AY309" s="109"/>
      <c r="AZ309" s="109"/>
      <c r="BA309" s="109"/>
      <c r="BB309" s="109"/>
      <c r="BC309" s="109"/>
      <c r="BD309" s="109"/>
      <c r="BE309" s="109"/>
      <c r="BF309" s="109"/>
      <c r="BG309" s="109"/>
      <c r="BH309" s="109"/>
      <c r="BI309" s="109"/>
      <c r="BJ309" s="109"/>
      <c r="BK309" s="109"/>
      <c r="BL309" s="109"/>
      <c r="BM309" s="109"/>
      <c r="BN309" s="109"/>
      <c r="BO309" s="109"/>
      <c r="BP309" s="109"/>
      <c r="BQ309" s="109"/>
      <c r="BR309" s="109"/>
      <c r="BS309" s="109"/>
      <c r="BT309" s="109"/>
      <c r="BU309" s="109"/>
    </row>
    <row r="310" ht="15.75" customHeight="1">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10"/>
      <c r="X310" s="109"/>
      <c r="Y310" s="109"/>
      <c r="Z310" s="109"/>
      <c r="AA310" s="109"/>
      <c r="AB310" s="109"/>
      <c r="AC310" s="109"/>
      <c r="AD310" s="109"/>
      <c r="AE310" s="109"/>
      <c r="AF310" s="109"/>
      <c r="AG310" s="109"/>
      <c r="AH310" s="109"/>
      <c r="AI310" s="109"/>
      <c r="AJ310" s="109"/>
      <c r="AK310" s="109"/>
      <c r="AL310" s="109"/>
      <c r="AM310" s="109"/>
      <c r="AN310" s="109"/>
      <c r="AO310" s="109"/>
      <c r="AP310" s="109"/>
      <c r="AQ310" s="109"/>
      <c r="AR310" s="109"/>
      <c r="AS310" s="109"/>
      <c r="AT310" s="109"/>
      <c r="AU310" s="109"/>
      <c r="AV310" s="109"/>
      <c r="AW310" s="109"/>
      <c r="AX310" s="109"/>
      <c r="AY310" s="109"/>
      <c r="AZ310" s="109"/>
      <c r="BA310" s="109"/>
      <c r="BB310" s="109"/>
      <c r="BC310" s="109"/>
      <c r="BD310" s="109"/>
      <c r="BE310" s="109"/>
      <c r="BF310" s="109"/>
      <c r="BG310" s="109"/>
      <c r="BH310" s="109"/>
      <c r="BI310" s="109"/>
      <c r="BJ310" s="109"/>
      <c r="BK310" s="109"/>
      <c r="BL310" s="109"/>
      <c r="BM310" s="109"/>
      <c r="BN310" s="109"/>
      <c r="BO310" s="109"/>
      <c r="BP310" s="109"/>
      <c r="BQ310" s="109"/>
      <c r="BR310" s="109"/>
      <c r="BS310" s="109"/>
      <c r="BT310" s="109"/>
      <c r="BU310" s="109"/>
    </row>
    <row r="311" ht="15.75" customHeight="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10"/>
      <c r="X311" s="109"/>
      <c r="Y311" s="109"/>
      <c r="Z311" s="109"/>
      <c r="AA311" s="109"/>
      <c r="AB311" s="109"/>
      <c r="AC311" s="109"/>
      <c r="AD311" s="109"/>
      <c r="AE311" s="109"/>
      <c r="AF311" s="109"/>
      <c r="AG311" s="109"/>
      <c r="AH311" s="109"/>
      <c r="AI311" s="109"/>
      <c r="AJ311" s="109"/>
      <c r="AK311" s="109"/>
      <c r="AL311" s="109"/>
      <c r="AM311" s="109"/>
      <c r="AN311" s="109"/>
      <c r="AO311" s="109"/>
      <c r="AP311" s="109"/>
      <c r="AQ311" s="109"/>
      <c r="AR311" s="109"/>
      <c r="AS311" s="109"/>
      <c r="AT311" s="109"/>
      <c r="AU311" s="109"/>
      <c r="AV311" s="109"/>
      <c r="AW311" s="109"/>
      <c r="AX311" s="109"/>
      <c r="AY311" s="109"/>
      <c r="AZ311" s="109"/>
      <c r="BA311" s="109"/>
      <c r="BB311" s="109"/>
      <c r="BC311" s="109"/>
      <c r="BD311" s="109"/>
      <c r="BE311" s="109"/>
      <c r="BF311" s="109"/>
      <c r="BG311" s="109"/>
      <c r="BH311" s="109"/>
      <c r="BI311" s="109"/>
      <c r="BJ311" s="109"/>
      <c r="BK311" s="109"/>
      <c r="BL311" s="109"/>
      <c r="BM311" s="109"/>
      <c r="BN311" s="109"/>
      <c r="BO311" s="109"/>
      <c r="BP311" s="109"/>
      <c r="BQ311" s="109"/>
      <c r="BR311" s="109"/>
      <c r="BS311" s="109"/>
      <c r="BT311" s="109"/>
      <c r="BU311" s="109"/>
    </row>
    <row r="312" ht="15.75" customHeight="1">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10"/>
      <c r="X312" s="109"/>
      <c r="Y312" s="109"/>
      <c r="Z312" s="109"/>
      <c r="AA312" s="109"/>
      <c r="AB312" s="109"/>
      <c r="AC312" s="109"/>
      <c r="AD312" s="109"/>
      <c r="AE312" s="109"/>
      <c r="AF312" s="109"/>
      <c r="AG312" s="109"/>
      <c r="AH312" s="109"/>
      <c r="AI312" s="109"/>
      <c r="AJ312" s="109"/>
      <c r="AK312" s="109"/>
      <c r="AL312" s="109"/>
      <c r="AM312" s="109"/>
      <c r="AN312" s="109"/>
      <c r="AO312" s="109"/>
      <c r="AP312" s="109"/>
      <c r="AQ312" s="109"/>
      <c r="AR312" s="109"/>
      <c r="AS312" s="109"/>
      <c r="AT312" s="109"/>
      <c r="AU312" s="109"/>
      <c r="AV312" s="109"/>
      <c r="AW312" s="109"/>
      <c r="AX312" s="109"/>
      <c r="AY312" s="109"/>
      <c r="AZ312" s="109"/>
      <c r="BA312" s="109"/>
      <c r="BB312" s="109"/>
      <c r="BC312" s="109"/>
      <c r="BD312" s="109"/>
      <c r="BE312" s="109"/>
      <c r="BF312" s="109"/>
      <c r="BG312" s="109"/>
      <c r="BH312" s="109"/>
      <c r="BI312" s="109"/>
      <c r="BJ312" s="109"/>
      <c r="BK312" s="109"/>
      <c r="BL312" s="109"/>
      <c r="BM312" s="109"/>
      <c r="BN312" s="109"/>
      <c r="BO312" s="109"/>
      <c r="BP312" s="109"/>
      <c r="BQ312" s="109"/>
      <c r="BR312" s="109"/>
      <c r="BS312" s="109"/>
      <c r="BT312" s="109"/>
      <c r="BU312" s="109"/>
    </row>
    <row r="313" ht="15.75" customHeight="1">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10"/>
      <c r="X313" s="109"/>
      <c r="Y313" s="109"/>
      <c r="Z313" s="109"/>
      <c r="AA313" s="109"/>
      <c r="AB313" s="109"/>
      <c r="AC313" s="109"/>
      <c r="AD313" s="109"/>
      <c r="AE313" s="109"/>
      <c r="AF313" s="109"/>
      <c r="AG313" s="109"/>
      <c r="AH313" s="109"/>
      <c r="AI313" s="109"/>
      <c r="AJ313" s="109"/>
      <c r="AK313" s="109"/>
      <c r="AL313" s="109"/>
      <c r="AM313" s="109"/>
      <c r="AN313" s="109"/>
      <c r="AO313" s="109"/>
      <c r="AP313" s="109"/>
      <c r="AQ313" s="109"/>
      <c r="AR313" s="109"/>
      <c r="AS313" s="109"/>
      <c r="AT313" s="109"/>
      <c r="AU313" s="109"/>
      <c r="AV313" s="109"/>
      <c r="AW313" s="109"/>
      <c r="AX313" s="109"/>
      <c r="AY313" s="109"/>
      <c r="AZ313" s="109"/>
      <c r="BA313" s="109"/>
      <c r="BB313" s="109"/>
      <c r="BC313" s="109"/>
      <c r="BD313" s="109"/>
      <c r="BE313" s="109"/>
      <c r="BF313" s="109"/>
      <c r="BG313" s="109"/>
      <c r="BH313" s="109"/>
      <c r="BI313" s="109"/>
      <c r="BJ313" s="109"/>
      <c r="BK313" s="109"/>
      <c r="BL313" s="109"/>
      <c r="BM313" s="109"/>
      <c r="BN313" s="109"/>
      <c r="BO313" s="109"/>
      <c r="BP313" s="109"/>
      <c r="BQ313" s="109"/>
      <c r="BR313" s="109"/>
      <c r="BS313" s="109"/>
      <c r="BT313" s="109"/>
      <c r="BU313" s="109"/>
    </row>
    <row r="314" ht="15.75" customHeight="1">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10"/>
      <c r="X314" s="109"/>
      <c r="Y314" s="109"/>
      <c r="Z314" s="109"/>
      <c r="AA314" s="109"/>
      <c r="AB314" s="109"/>
      <c r="AC314" s="109"/>
      <c r="AD314" s="109"/>
      <c r="AE314" s="109"/>
      <c r="AF314" s="109"/>
      <c r="AG314" s="109"/>
      <c r="AH314" s="109"/>
      <c r="AI314" s="109"/>
      <c r="AJ314" s="109"/>
      <c r="AK314" s="109"/>
      <c r="AL314" s="109"/>
      <c r="AM314" s="109"/>
      <c r="AN314" s="109"/>
      <c r="AO314" s="109"/>
      <c r="AP314" s="109"/>
      <c r="AQ314" s="109"/>
      <c r="AR314" s="109"/>
      <c r="AS314" s="109"/>
      <c r="AT314" s="109"/>
      <c r="AU314" s="109"/>
      <c r="AV314" s="109"/>
      <c r="AW314" s="109"/>
      <c r="AX314" s="109"/>
      <c r="AY314" s="109"/>
      <c r="AZ314" s="109"/>
      <c r="BA314" s="109"/>
      <c r="BB314" s="109"/>
      <c r="BC314" s="109"/>
      <c r="BD314" s="109"/>
      <c r="BE314" s="109"/>
      <c r="BF314" s="109"/>
      <c r="BG314" s="109"/>
      <c r="BH314" s="109"/>
      <c r="BI314" s="109"/>
      <c r="BJ314" s="109"/>
      <c r="BK314" s="109"/>
      <c r="BL314" s="109"/>
      <c r="BM314" s="109"/>
      <c r="BN314" s="109"/>
      <c r="BO314" s="109"/>
      <c r="BP314" s="109"/>
      <c r="BQ314" s="109"/>
      <c r="BR314" s="109"/>
      <c r="BS314" s="109"/>
      <c r="BT314" s="109"/>
      <c r="BU314" s="109"/>
    </row>
    <row r="315" ht="15.75" customHeight="1">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10"/>
      <c r="X315" s="109"/>
      <c r="Y315" s="109"/>
      <c r="Z315" s="109"/>
      <c r="AA315" s="109"/>
      <c r="AB315" s="109"/>
      <c r="AC315" s="109"/>
      <c r="AD315" s="109"/>
      <c r="AE315" s="109"/>
      <c r="AF315" s="109"/>
      <c r="AG315" s="109"/>
      <c r="AH315" s="109"/>
      <c r="AI315" s="109"/>
      <c r="AJ315" s="109"/>
      <c r="AK315" s="109"/>
      <c r="AL315" s="109"/>
      <c r="AM315" s="109"/>
      <c r="AN315" s="109"/>
      <c r="AO315" s="109"/>
      <c r="AP315" s="109"/>
      <c r="AQ315" s="109"/>
      <c r="AR315" s="109"/>
      <c r="AS315" s="109"/>
      <c r="AT315" s="109"/>
      <c r="AU315" s="109"/>
      <c r="AV315" s="109"/>
      <c r="AW315" s="109"/>
      <c r="AX315" s="109"/>
      <c r="AY315" s="109"/>
      <c r="AZ315" s="109"/>
      <c r="BA315" s="109"/>
      <c r="BB315" s="109"/>
      <c r="BC315" s="109"/>
      <c r="BD315" s="109"/>
      <c r="BE315" s="109"/>
      <c r="BF315" s="109"/>
      <c r="BG315" s="109"/>
      <c r="BH315" s="109"/>
      <c r="BI315" s="109"/>
      <c r="BJ315" s="109"/>
      <c r="BK315" s="109"/>
      <c r="BL315" s="109"/>
      <c r="BM315" s="109"/>
      <c r="BN315" s="109"/>
      <c r="BO315" s="109"/>
      <c r="BP315" s="109"/>
      <c r="BQ315" s="109"/>
      <c r="BR315" s="109"/>
      <c r="BS315" s="109"/>
      <c r="BT315" s="109"/>
      <c r="BU315" s="109"/>
    </row>
    <row r="316" ht="15.75" customHeight="1">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10"/>
      <c r="X316" s="109"/>
      <c r="Y316" s="109"/>
      <c r="Z316" s="109"/>
      <c r="AA316" s="109"/>
      <c r="AB316" s="109"/>
      <c r="AC316" s="109"/>
      <c r="AD316" s="109"/>
      <c r="AE316" s="109"/>
      <c r="AF316" s="109"/>
      <c r="AG316" s="109"/>
      <c r="AH316" s="109"/>
      <c r="AI316" s="109"/>
      <c r="AJ316" s="109"/>
      <c r="AK316" s="109"/>
      <c r="AL316" s="109"/>
      <c r="AM316" s="109"/>
      <c r="AN316" s="109"/>
      <c r="AO316" s="109"/>
      <c r="AP316" s="109"/>
      <c r="AQ316" s="109"/>
      <c r="AR316" s="109"/>
      <c r="AS316" s="109"/>
      <c r="AT316" s="109"/>
      <c r="AU316" s="109"/>
      <c r="AV316" s="109"/>
      <c r="AW316" s="109"/>
      <c r="AX316" s="109"/>
      <c r="AY316" s="109"/>
      <c r="AZ316" s="109"/>
      <c r="BA316" s="109"/>
      <c r="BB316" s="109"/>
      <c r="BC316" s="109"/>
      <c r="BD316" s="109"/>
      <c r="BE316" s="109"/>
      <c r="BF316" s="109"/>
      <c r="BG316" s="109"/>
      <c r="BH316" s="109"/>
      <c r="BI316" s="109"/>
      <c r="BJ316" s="109"/>
      <c r="BK316" s="109"/>
      <c r="BL316" s="109"/>
      <c r="BM316" s="109"/>
      <c r="BN316" s="109"/>
      <c r="BO316" s="109"/>
      <c r="BP316" s="109"/>
      <c r="BQ316" s="109"/>
      <c r="BR316" s="109"/>
      <c r="BS316" s="109"/>
      <c r="BT316" s="109"/>
      <c r="BU316" s="109"/>
    </row>
    <row r="317" ht="15.75" customHeight="1">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10"/>
      <c r="X317" s="109"/>
      <c r="Y317" s="109"/>
      <c r="Z317" s="109"/>
      <c r="AA317" s="109"/>
      <c r="AB317" s="109"/>
      <c r="AC317" s="109"/>
      <c r="AD317" s="109"/>
      <c r="AE317" s="109"/>
      <c r="AF317" s="109"/>
      <c r="AG317" s="109"/>
      <c r="AH317" s="109"/>
      <c r="AI317" s="109"/>
      <c r="AJ317" s="109"/>
      <c r="AK317" s="109"/>
      <c r="AL317" s="109"/>
      <c r="AM317" s="109"/>
      <c r="AN317" s="109"/>
      <c r="AO317" s="109"/>
      <c r="AP317" s="109"/>
      <c r="AQ317" s="109"/>
      <c r="AR317" s="109"/>
      <c r="AS317" s="109"/>
      <c r="AT317" s="109"/>
      <c r="AU317" s="109"/>
      <c r="AV317" s="109"/>
      <c r="AW317" s="109"/>
      <c r="AX317" s="109"/>
      <c r="AY317" s="109"/>
      <c r="AZ317" s="109"/>
      <c r="BA317" s="109"/>
      <c r="BB317" s="109"/>
      <c r="BC317" s="109"/>
      <c r="BD317" s="109"/>
      <c r="BE317" s="109"/>
      <c r="BF317" s="109"/>
      <c r="BG317" s="109"/>
      <c r="BH317" s="109"/>
      <c r="BI317" s="109"/>
      <c r="BJ317" s="109"/>
      <c r="BK317" s="109"/>
      <c r="BL317" s="109"/>
      <c r="BM317" s="109"/>
      <c r="BN317" s="109"/>
      <c r="BO317" s="109"/>
      <c r="BP317" s="109"/>
      <c r="BQ317" s="109"/>
      <c r="BR317" s="109"/>
      <c r="BS317" s="109"/>
      <c r="BT317" s="109"/>
      <c r="BU317" s="109"/>
    </row>
    <row r="318" ht="15.75" customHeight="1">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10"/>
      <c r="X318" s="109"/>
      <c r="Y318" s="109"/>
      <c r="Z318" s="109"/>
      <c r="AA318" s="109"/>
      <c r="AB318" s="109"/>
      <c r="AC318" s="109"/>
      <c r="AD318" s="109"/>
      <c r="AE318" s="109"/>
      <c r="AF318" s="109"/>
      <c r="AG318" s="109"/>
      <c r="AH318" s="109"/>
      <c r="AI318" s="109"/>
      <c r="AJ318" s="109"/>
      <c r="AK318" s="109"/>
      <c r="AL318" s="109"/>
      <c r="AM318" s="109"/>
      <c r="AN318" s="109"/>
      <c r="AO318" s="109"/>
      <c r="AP318" s="109"/>
      <c r="AQ318" s="109"/>
      <c r="AR318" s="109"/>
      <c r="AS318" s="109"/>
      <c r="AT318" s="109"/>
      <c r="AU318" s="109"/>
      <c r="AV318" s="109"/>
      <c r="AW318" s="109"/>
      <c r="AX318" s="109"/>
      <c r="AY318" s="109"/>
      <c r="AZ318" s="109"/>
      <c r="BA318" s="109"/>
      <c r="BB318" s="109"/>
      <c r="BC318" s="109"/>
      <c r="BD318" s="109"/>
      <c r="BE318" s="109"/>
      <c r="BF318" s="109"/>
      <c r="BG318" s="109"/>
      <c r="BH318" s="109"/>
      <c r="BI318" s="109"/>
      <c r="BJ318" s="109"/>
      <c r="BK318" s="109"/>
      <c r="BL318" s="109"/>
      <c r="BM318" s="109"/>
      <c r="BN318" s="109"/>
      <c r="BO318" s="109"/>
      <c r="BP318" s="109"/>
      <c r="BQ318" s="109"/>
      <c r="BR318" s="109"/>
      <c r="BS318" s="109"/>
      <c r="BT318" s="109"/>
      <c r="BU318" s="109"/>
    </row>
    <row r="319" ht="15.75" customHeight="1">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10"/>
      <c r="X319" s="109"/>
      <c r="Y319" s="109"/>
      <c r="Z319" s="109"/>
      <c r="AA319" s="109"/>
      <c r="AB319" s="109"/>
      <c r="AC319" s="109"/>
      <c r="AD319" s="109"/>
      <c r="AE319" s="109"/>
      <c r="AF319" s="109"/>
      <c r="AG319" s="109"/>
      <c r="AH319" s="109"/>
      <c r="AI319" s="109"/>
      <c r="AJ319" s="109"/>
      <c r="AK319" s="109"/>
      <c r="AL319" s="109"/>
      <c r="AM319" s="109"/>
      <c r="AN319" s="109"/>
      <c r="AO319" s="109"/>
      <c r="AP319" s="109"/>
      <c r="AQ319" s="109"/>
      <c r="AR319" s="109"/>
      <c r="AS319" s="109"/>
      <c r="AT319" s="109"/>
      <c r="AU319" s="109"/>
      <c r="AV319" s="109"/>
      <c r="AW319" s="109"/>
      <c r="AX319" s="109"/>
      <c r="AY319" s="109"/>
      <c r="AZ319" s="109"/>
      <c r="BA319" s="109"/>
      <c r="BB319" s="109"/>
      <c r="BC319" s="109"/>
      <c r="BD319" s="109"/>
      <c r="BE319" s="109"/>
      <c r="BF319" s="109"/>
      <c r="BG319" s="109"/>
      <c r="BH319" s="109"/>
      <c r="BI319" s="109"/>
      <c r="BJ319" s="109"/>
      <c r="BK319" s="109"/>
      <c r="BL319" s="109"/>
      <c r="BM319" s="109"/>
      <c r="BN319" s="109"/>
      <c r="BO319" s="109"/>
      <c r="BP319" s="109"/>
      <c r="BQ319" s="109"/>
      <c r="BR319" s="109"/>
      <c r="BS319" s="109"/>
      <c r="BT319" s="109"/>
      <c r="BU319" s="109"/>
    </row>
    <row r="320" ht="15.75" customHeight="1">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10"/>
      <c r="X320" s="109"/>
      <c r="Y320" s="109"/>
      <c r="Z320" s="109"/>
      <c r="AA320" s="109"/>
      <c r="AB320" s="109"/>
      <c r="AC320" s="109"/>
      <c r="AD320" s="109"/>
      <c r="AE320" s="109"/>
      <c r="AF320" s="109"/>
      <c r="AG320" s="109"/>
      <c r="AH320" s="109"/>
      <c r="AI320" s="109"/>
      <c r="AJ320" s="109"/>
      <c r="AK320" s="109"/>
      <c r="AL320" s="109"/>
      <c r="AM320" s="109"/>
      <c r="AN320" s="109"/>
      <c r="AO320" s="109"/>
      <c r="AP320" s="109"/>
      <c r="AQ320" s="109"/>
      <c r="AR320" s="109"/>
      <c r="AS320" s="109"/>
      <c r="AT320" s="109"/>
      <c r="AU320" s="109"/>
      <c r="AV320" s="109"/>
      <c r="AW320" s="109"/>
      <c r="AX320" s="109"/>
      <c r="AY320" s="109"/>
      <c r="AZ320" s="109"/>
      <c r="BA320" s="109"/>
      <c r="BB320" s="109"/>
      <c r="BC320" s="109"/>
      <c r="BD320" s="109"/>
      <c r="BE320" s="109"/>
      <c r="BF320" s="109"/>
      <c r="BG320" s="109"/>
      <c r="BH320" s="109"/>
      <c r="BI320" s="109"/>
      <c r="BJ320" s="109"/>
      <c r="BK320" s="109"/>
      <c r="BL320" s="109"/>
      <c r="BM320" s="109"/>
      <c r="BN320" s="109"/>
      <c r="BO320" s="109"/>
      <c r="BP320" s="109"/>
      <c r="BQ320" s="109"/>
      <c r="BR320" s="109"/>
      <c r="BS320" s="109"/>
      <c r="BT320" s="109"/>
      <c r="BU320" s="109"/>
    </row>
    <row r="321" ht="15.75" customHeight="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10"/>
      <c r="X321" s="109"/>
      <c r="Y321" s="109"/>
      <c r="Z321" s="109"/>
      <c r="AA321" s="109"/>
      <c r="AB321" s="109"/>
      <c r="AC321" s="109"/>
      <c r="AD321" s="109"/>
      <c r="AE321" s="109"/>
      <c r="AF321" s="109"/>
      <c r="AG321" s="109"/>
      <c r="AH321" s="109"/>
      <c r="AI321" s="109"/>
      <c r="AJ321" s="109"/>
      <c r="AK321" s="109"/>
      <c r="AL321" s="109"/>
      <c r="AM321" s="109"/>
      <c r="AN321" s="109"/>
      <c r="AO321" s="109"/>
      <c r="AP321" s="109"/>
      <c r="AQ321" s="109"/>
      <c r="AR321" s="109"/>
      <c r="AS321" s="109"/>
      <c r="AT321" s="109"/>
      <c r="AU321" s="109"/>
      <c r="AV321" s="109"/>
      <c r="AW321" s="109"/>
      <c r="AX321" s="109"/>
      <c r="AY321" s="109"/>
      <c r="AZ321" s="109"/>
      <c r="BA321" s="109"/>
      <c r="BB321" s="109"/>
      <c r="BC321" s="109"/>
      <c r="BD321" s="109"/>
      <c r="BE321" s="109"/>
      <c r="BF321" s="109"/>
      <c r="BG321" s="109"/>
      <c r="BH321" s="109"/>
      <c r="BI321" s="109"/>
      <c r="BJ321" s="109"/>
      <c r="BK321" s="109"/>
      <c r="BL321" s="109"/>
      <c r="BM321" s="109"/>
      <c r="BN321" s="109"/>
      <c r="BO321" s="109"/>
      <c r="BP321" s="109"/>
      <c r="BQ321" s="109"/>
      <c r="BR321" s="109"/>
      <c r="BS321" s="109"/>
      <c r="BT321" s="109"/>
      <c r="BU321" s="109"/>
    </row>
    <row r="322" ht="15.75" customHeight="1">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10"/>
      <c r="X322" s="109"/>
      <c r="Y322" s="109"/>
      <c r="Z322" s="109"/>
      <c r="AA322" s="109"/>
      <c r="AB322" s="109"/>
      <c r="AC322" s="109"/>
      <c r="AD322" s="109"/>
      <c r="AE322" s="109"/>
      <c r="AF322" s="109"/>
      <c r="AG322" s="109"/>
      <c r="AH322" s="109"/>
      <c r="AI322" s="109"/>
      <c r="AJ322" s="109"/>
      <c r="AK322" s="109"/>
      <c r="AL322" s="109"/>
      <c r="AM322" s="109"/>
      <c r="AN322" s="109"/>
      <c r="AO322" s="109"/>
      <c r="AP322" s="109"/>
      <c r="AQ322" s="109"/>
      <c r="AR322" s="109"/>
      <c r="AS322" s="109"/>
      <c r="AT322" s="109"/>
      <c r="AU322" s="109"/>
      <c r="AV322" s="109"/>
      <c r="AW322" s="109"/>
      <c r="AX322" s="109"/>
      <c r="AY322" s="109"/>
      <c r="AZ322" s="109"/>
      <c r="BA322" s="109"/>
      <c r="BB322" s="109"/>
      <c r="BC322" s="109"/>
      <c r="BD322" s="109"/>
      <c r="BE322" s="109"/>
      <c r="BF322" s="109"/>
      <c r="BG322" s="109"/>
      <c r="BH322" s="109"/>
      <c r="BI322" s="109"/>
      <c r="BJ322" s="109"/>
      <c r="BK322" s="109"/>
      <c r="BL322" s="109"/>
      <c r="BM322" s="109"/>
      <c r="BN322" s="109"/>
      <c r="BO322" s="109"/>
      <c r="BP322" s="109"/>
      <c r="BQ322" s="109"/>
      <c r="BR322" s="109"/>
      <c r="BS322" s="109"/>
      <c r="BT322" s="109"/>
      <c r="BU322" s="109"/>
    </row>
    <row r="323" ht="15.75" customHeight="1">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10"/>
      <c r="X323" s="109"/>
      <c r="Y323" s="109"/>
      <c r="Z323" s="109"/>
      <c r="AA323" s="109"/>
      <c r="AB323" s="109"/>
      <c r="AC323" s="109"/>
      <c r="AD323" s="109"/>
      <c r="AE323" s="109"/>
      <c r="AF323" s="109"/>
      <c r="AG323" s="109"/>
      <c r="AH323" s="109"/>
      <c r="AI323" s="109"/>
      <c r="AJ323" s="109"/>
      <c r="AK323" s="109"/>
      <c r="AL323" s="109"/>
      <c r="AM323" s="109"/>
      <c r="AN323" s="109"/>
      <c r="AO323" s="109"/>
      <c r="AP323" s="109"/>
      <c r="AQ323" s="109"/>
      <c r="AR323" s="109"/>
      <c r="AS323" s="109"/>
      <c r="AT323" s="109"/>
      <c r="AU323" s="109"/>
      <c r="AV323" s="109"/>
      <c r="AW323" s="109"/>
      <c r="AX323" s="109"/>
      <c r="AY323" s="109"/>
      <c r="AZ323" s="109"/>
      <c r="BA323" s="109"/>
      <c r="BB323" s="109"/>
      <c r="BC323" s="109"/>
      <c r="BD323" s="109"/>
      <c r="BE323" s="109"/>
      <c r="BF323" s="109"/>
      <c r="BG323" s="109"/>
      <c r="BH323" s="109"/>
      <c r="BI323" s="109"/>
      <c r="BJ323" s="109"/>
      <c r="BK323" s="109"/>
      <c r="BL323" s="109"/>
      <c r="BM323" s="109"/>
      <c r="BN323" s="109"/>
      <c r="BO323" s="109"/>
      <c r="BP323" s="109"/>
      <c r="BQ323" s="109"/>
      <c r="BR323" s="109"/>
      <c r="BS323" s="109"/>
      <c r="BT323" s="109"/>
      <c r="BU323" s="109"/>
    </row>
    <row r="324" ht="15.75" customHeight="1">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10"/>
      <c r="X324" s="109"/>
      <c r="Y324" s="109"/>
      <c r="Z324" s="109"/>
      <c r="AA324" s="109"/>
      <c r="AB324" s="109"/>
      <c r="AC324" s="109"/>
      <c r="AD324" s="109"/>
      <c r="AE324" s="109"/>
      <c r="AF324" s="109"/>
      <c r="AG324" s="109"/>
      <c r="AH324" s="109"/>
      <c r="AI324" s="109"/>
      <c r="AJ324" s="109"/>
      <c r="AK324" s="109"/>
      <c r="AL324" s="109"/>
      <c r="AM324" s="109"/>
      <c r="AN324" s="109"/>
      <c r="AO324" s="109"/>
      <c r="AP324" s="109"/>
      <c r="AQ324" s="109"/>
      <c r="AR324" s="109"/>
      <c r="AS324" s="109"/>
      <c r="AT324" s="109"/>
      <c r="AU324" s="109"/>
      <c r="AV324" s="109"/>
      <c r="AW324" s="109"/>
      <c r="AX324" s="109"/>
      <c r="AY324" s="109"/>
      <c r="AZ324" s="109"/>
      <c r="BA324" s="109"/>
      <c r="BB324" s="109"/>
      <c r="BC324" s="109"/>
      <c r="BD324" s="109"/>
      <c r="BE324" s="109"/>
      <c r="BF324" s="109"/>
      <c r="BG324" s="109"/>
      <c r="BH324" s="109"/>
      <c r="BI324" s="109"/>
      <c r="BJ324" s="109"/>
      <c r="BK324" s="109"/>
      <c r="BL324" s="109"/>
      <c r="BM324" s="109"/>
      <c r="BN324" s="109"/>
      <c r="BO324" s="109"/>
      <c r="BP324" s="109"/>
      <c r="BQ324" s="109"/>
      <c r="BR324" s="109"/>
      <c r="BS324" s="109"/>
      <c r="BT324" s="109"/>
      <c r="BU324" s="109"/>
    </row>
    <row r="325" ht="15.75" customHeight="1">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10"/>
      <c r="X325" s="109"/>
      <c r="Y325" s="109"/>
      <c r="Z325" s="109"/>
      <c r="AA325" s="109"/>
      <c r="AB325" s="109"/>
      <c r="AC325" s="109"/>
      <c r="AD325" s="109"/>
      <c r="AE325" s="109"/>
      <c r="AF325" s="109"/>
      <c r="AG325" s="109"/>
      <c r="AH325" s="109"/>
      <c r="AI325" s="109"/>
      <c r="AJ325" s="109"/>
      <c r="AK325" s="109"/>
      <c r="AL325" s="109"/>
      <c r="AM325" s="109"/>
      <c r="AN325" s="109"/>
      <c r="AO325" s="109"/>
      <c r="AP325" s="109"/>
      <c r="AQ325" s="109"/>
      <c r="AR325" s="109"/>
      <c r="AS325" s="109"/>
      <c r="AT325" s="109"/>
      <c r="AU325" s="109"/>
      <c r="AV325" s="109"/>
      <c r="AW325" s="109"/>
      <c r="AX325" s="109"/>
      <c r="AY325" s="109"/>
      <c r="AZ325" s="109"/>
      <c r="BA325" s="109"/>
      <c r="BB325" s="109"/>
      <c r="BC325" s="109"/>
      <c r="BD325" s="109"/>
      <c r="BE325" s="109"/>
      <c r="BF325" s="109"/>
      <c r="BG325" s="109"/>
      <c r="BH325" s="109"/>
      <c r="BI325" s="109"/>
      <c r="BJ325" s="109"/>
      <c r="BK325" s="109"/>
      <c r="BL325" s="109"/>
      <c r="BM325" s="109"/>
      <c r="BN325" s="109"/>
      <c r="BO325" s="109"/>
      <c r="BP325" s="109"/>
      <c r="BQ325" s="109"/>
      <c r="BR325" s="109"/>
      <c r="BS325" s="109"/>
      <c r="BT325" s="109"/>
      <c r="BU325" s="109"/>
    </row>
    <row r="326" ht="15.75" customHeight="1">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10"/>
      <c r="X326" s="109"/>
      <c r="Y326" s="109"/>
      <c r="Z326" s="109"/>
      <c r="AA326" s="109"/>
      <c r="AB326" s="109"/>
      <c r="AC326" s="109"/>
      <c r="AD326" s="109"/>
      <c r="AE326" s="109"/>
      <c r="AF326" s="109"/>
      <c r="AG326" s="109"/>
      <c r="AH326" s="109"/>
      <c r="AI326" s="109"/>
      <c r="AJ326" s="109"/>
      <c r="AK326" s="109"/>
      <c r="AL326" s="109"/>
      <c r="AM326" s="109"/>
      <c r="AN326" s="109"/>
      <c r="AO326" s="109"/>
      <c r="AP326" s="109"/>
      <c r="AQ326" s="109"/>
      <c r="AR326" s="109"/>
      <c r="AS326" s="109"/>
      <c r="AT326" s="109"/>
      <c r="AU326" s="109"/>
      <c r="AV326" s="109"/>
      <c r="AW326" s="109"/>
      <c r="AX326" s="109"/>
      <c r="AY326" s="109"/>
      <c r="AZ326" s="109"/>
      <c r="BA326" s="109"/>
      <c r="BB326" s="109"/>
      <c r="BC326" s="109"/>
      <c r="BD326" s="109"/>
      <c r="BE326" s="109"/>
      <c r="BF326" s="109"/>
      <c r="BG326" s="109"/>
      <c r="BH326" s="109"/>
      <c r="BI326" s="109"/>
      <c r="BJ326" s="109"/>
      <c r="BK326" s="109"/>
      <c r="BL326" s="109"/>
      <c r="BM326" s="109"/>
      <c r="BN326" s="109"/>
      <c r="BO326" s="109"/>
      <c r="BP326" s="109"/>
      <c r="BQ326" s="109"/>
      <c r="BR326" s="109"/>
      <c r="BS326" s="109"/>
      <c r="BT326" s="109"/>
      <c r="BU326" s="109"/>
    </row>
    <row r="327" ht="15.75" customHeight="1">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10"/>
      <c r="X327" s="109"/>
      <c r="Y327" s="109"/>
      <c r="Z327" s="109"/>
      <c r="AA327" s="109"/>
      <c r="AB327" s="109"/>
      <c r="AC327" s="109"/>
      <c r="AD327" s="109"/>
      <c r="AE327" s="109"/>
      <c r="AF327" s="109"/>
      <c r="AG327" s="109"/>
      <c r="AH327" s="109"/>
      <c r="AI327" s="109"/>
      <c r="AJ327" s="109"/>
      <c r="AK327" s="109"/>
      <c r="AL327" s="109"/>
      <c r="AM327" s="109"/>
      <c r="AN327" s="109"/>
      <c r="AO327" s="109"/>
      <c r="AP327" s="109"/>
      <c r="AQ327" s="109"/>
      <c r="AR327" s="109"/>
      <c r="AS327" s="109"/>
      <c r="AT327" s="109"/>
      <c r="AU327" s="109"/>
      <c r="AV327" s="109"/>
      <c r="AW327" s="109"/>
      <c r="AX327" s="109"/>
      <c r="AY327" s="109"/>
      <c r="AZ327" s="109"/>
      <c r="BA327" s="109"/>
      <c r="BB327" s="109"/>
      <c r="BC327" s="109"/>
      <c r="BD327" s="109"/>
      <c r="BE327" s="109"/>
      <c r="BF327" s="109"/>
      <c r="BG327" s="109"/>
      <c r="BH327" s="109"/>
      <c r="BI327" s="109"/>
      <c r="BJ327" s="109"/>
      <c r="BK327" s="109"/>
      <c r="BL327" s="109"/>
      <c r="BM327" s="109"/>
      <c r="BN327" s="109"/>
      <c r="BO327" s="109"/>
      <c r="BP327" s="109"/>
      <c r="BQ327" s="109"/>
      <c r="BR327" s="109"/>
      <c r="BS327" s="109"/>
      <c r="BT327" s="109"/>
      <c r="BU327" s="109"/>
    </row>
    <row r="328" ht="15.75" customHeight="1">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10"/>
      <c r="X328" s="109"/>
      <c r="Y328" s="109"/>
      <c r="Z328" s="109"/>
      <c r="AA328" s="109"/>
      <c r="AB328" s="109"/>
      <c r="AC328" s="109"/>
      <c r="AD328" s="109"/>
      <c r="AE328" s="109"/>
      <c r="AF328" s="109"/>
      <c r="AG328" s="109"/>
      <c r="AH328" s="109"/>
      <c r="AI328" s="109"/>
      <c r="AJ328" s="109"/>
      <c r="AK328" s="109"/>
      <c r="AL328" s="109"/>
      <c r="AM328" s="109"/>
      <c r="AN328" s="109"/>
      <c r="AO328" s="109"/>
      <c r="AP328" s="109"/>
      <c r="AQ328" s="109"/>
      <c r="AR328" s="109"/>
      <c r="AS328" s="109"/>
      <c r="AT328" s="109"/>
      <c r="AU328" s="109"/>
      <c r="AV328" s="109"/>
      <c r="AW328" s="109"/>
      <c r="AX328" s="109"/>
      <c r="AY328" s="109"/>
      <c r="AZ328" s="109"/>
      <c r="BA328" s="109"/>
      <c r="BB328" s="109"/>
      <c r="BC328" s="109"/>
      <c r="BD328" s="109"/>
      <c r="BE328" s="109"/>
      <c r="BF328" s="109"/>
      <c r="BG328" s="109"/>
      <c r="BH328" s="109"/>
      <c r="BI328" s="109"/>
      <c r="BJ328" s="109"/>
      <c r="BK328" s="109"/>
      <c r="BL328" s="109"/>
      <c r="BM328" s="109"/>
      <c r="BN328" s="109"/>
      <c r="BO328" s="109"/>
      <c r="BP328" s="109"/>
      <c r="BQ328" s="109"/>
      <c r="BR328" s="109"/>
      <c r="BS328" s="109"/>
      <c r="BT328" s="109"/>
      <c r="BU328" s="109"/>
    </row>
    <row r="329" ht="15.75" customHeight="1">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10"/>
      <c r="X329" s="109"/>
      <c r="Y329" s="109"/>
      <c r="Z329" s="109"/>
      <c r="AA329" s="109"/>
      <c r="AB329" s="109"/>
      <c r="AC329" s="109"/>
      <c r="AD329" s="109"/>
      <c r="AE329" s="109"/>
      <c r="AF329" s="109"/>
      <c r="AG329" s="109"/>
      <c r="AH329" s="109"/>
      <c r="AI329" s="109"/>
      <c r="AJ329" s="109"/>
      <c r="AK329" s="109"/>
      <c r="AL329" s="109"/>
      <c r="AM329" s="109"/>
      <c r="AN329" s="109"/>
      <c r="AO329" s="109"/>
      <c r="AP329" s="109"/>
      <c r="AQ329" s="109"/>
      <c r="AR329" s="109"/>
      <c r="AS329" s="109"/>
      <c r="AT329" s="109"/>
      <c r="AU329" s="109"/>
      <c r="AV329" s="109"/>
      <c r="AW329" s="109"/>
      <c r="AX329" s="109"/>
      <c r="AY329" s="109"/>
      <c r="AZ329" s="109"/>
      <c r="BA329" s="109"/>
      <c r="BB329" s="109"/>
      <c r="BC329" s="109"/>
      <c r="BD329" s="109"/>
      <c r="BE329" s="109"/>
      <c r="BF329" s="109"/>
      <c r="BG329" s="109"/>
      <c r="BH329" s="109"/>
      <c r="BI329" s="109"/>
      <c r="BJ329" s="109"/>
      <c r="BK329" s="109"/>
      <c r="BL329" s="109"/>
      <c r="BM329" s="109"/>
      <c r="BN329" s="109"/>
      <c r="BO329" s="109"/>
      <c r="BP329" s="109"/>
      <c r="BQ329" s="109"/>
      <c r="BR329" s="109"/>
      <c r="BS329" s="109"/>
      <c r="BT329" s="109"/>
      <c r="BU329" s="109"/>
    </row>
    <row r="330" ht="15.75" customHeight="1">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10"/>
      <c r="X330" s="109"/>
      <c r="Y330" s="109"/>
      <c r="Z330" s="109"/>
      <c r="AA330" s="109"/>
      <c r="AB330" s="109"/>
      <c r="AC330" s="109"/>
      <c r="AD330" s="109"/>
      <c r="AE330" s="109"/>
      <c r="AF330" s="109"/>
      <c r="AG330" s="109"/>
      <c r="AH330" s="109"/>
      <c r="AI330" s="109"/>
      <c r="AJ330" s="109"/>
      <c r="AK330" s="109"/>
      <c r="AL330" s="109"/>
      <c r="AM330" s="109"/>
      <c r="AN330" s="109"/>
      <c r="AO330" s="109"/>
      <c r="AP330" s="109"/>
      <c r="AQ330" s="109"/>
      <c r="AR330" s="109"/>
      <c r="AS330" s="109"/>
      <c r="AT330" s="109"/>
      <c r="AU330" s="109"/>
      <c r="AV330" s="109"/>
      <c r="AW330" s="109"/>
      <c r="AX330" s="109"/>
      <c r="AY330" s="109"/>
      <c r="AZ330" s="109"/>
      <c r="BA330" s="109"/>
      <c r="BB330" s="109"/>
      <c r="BC330" s="109"/>
      <c r="BD330" s="109"/>
      <c r="BE330" s="109"/>
      <c r="BF330" s="109"/>
      <c r="BG330" s="109"/>
      <c r="BH330" s="109"/>
      <c r="BI330" s="109"/>
      <c r="BJ330" s="109"/>
      <c r="BK330" s="109"/>
      <c r="BL330" s="109"/>
      <c r="BM330" s="109"/>
      <c r="BN330" s="109"/>
      <c r="BO330" s="109"/>
      <c r="BP330" s="109"/>
      <c r="BQ330" s="109"/>
      <c r="BR330" s="109"/>
      <c r="BS330" s="109"/>
      <c r="BT330" s="109"/>
      <c r="BU330" s="109"/>
    </row>
    <row r="331" ht="15.75" customHeight="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10"/>
      <c r="X331" s="109"/>
      <c r="Y331" s="109"/>
      <c r="Z331" s="109"/>
      <c r="AA331" s="109"/>
      <c r="AB331" s="109"/>
      <c r="AC331" s="109"/>
      <c r="AD331" s="109"/>
      <c r="AE331" s="109"/>
      <c r="AF331" s="109"/>
      <c r="AG331" s="109"/>
      <c r="AH331" s="109"/>
      <c r="AI331" s="109"/>
      <c r="AJ331" s="109"/>
      <c r="AK331" s="109"/>
      <c r="AL331" s="109"/>
      <c r="AM331" s="109"/>
      <c r="AN331" s="109"/>
      <c r="AO331" s="109"/>
      <c r="AP331" s="109"/>
      <c r="AQ331" s="109"/>
      <c r="AR331" s="109"/>
      <c r="AS331" s="109"/>
      <c r="AT331" s="109"/>
      <c r="AU331" s="109"/>
      <c r="AV331" s="109"/>
      <c r="AW331" s="109"/>
      <c r="AX331" s="109"/>
      <c r="AY331" s="109"/>
      <c r="AZ331" s="109"/>
      <c r="BA331" s="109"/>
      <c r="BB331" s="109"/>
      <c r="BC331" s="109"/>
      <c r="BD331" s="109"/>
      <c r="BE331" s="109"/>
      <c r="BF331" s="109"/>
      <c r="BG331" s="109"/>
      <c r="BH331" s="109"/>
      <c r="BI331" s="109"/>
      <c r="BJ331" s="109"/>
      <c r="BK331" s="109"/>
      <c r="BL331" s="109"/>
      <c r="BM331" s="109"/>
      <c r="BN331" s="109"/>
      <c r="BO331" s="109"/>
      <c r="BP331" s="109"/>
      <c r="BQ331" s="109"/>
      <c r="BR331" s="109"/>
      <c r="BS331" s="109"/>
      <c r="BT331" s="109"/>
      <c r="BU331" s="109"/>
    </row>
    <row r="332" ht="15.75" customHeight="1">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10"/>
      <c r="X332" s="109"/>
      <c r="Y332" s="109"/>
      <c r="Z332" s="109"/>
      <c r="AA332" s="109"/>
      <c r="AB332" s="109"/>
      <c r="AC332" s="109"/>
      <c r="AD332" s="109"/>
      <c r="AE332" s="109"/>
      <c r="AF332" s="109"/>
      <c r="AG332" s="109"/>
      <c r="AH332" s="109"/>
      <c r="AI332" s="109"/>
      <c r="AJ332" s="109"/>
      <c r="AK332" s="109"/>
      <c r="AL332" s="109"/>
      <c r="AM332" s="109"/>
      <c r="AN332" s="109"/>
      <c r="AO332" s="109"/>
      <c r="AP332" s="109"/>
      <c r="AQ332" s="109"/>
      <c r="AR332" s="109"/>
      <c r="AS332" s="109"/>
      <c r="AT332" s="109"/>
      <c r="AU332" s="109"/>
      <c r="AV332" s="109"/>
      <c r="AW332" s="109"/>
      <c r="AX332" s="109"/>
      <c r="AY332" s="109"/>
      <c r="AZ332" s="109"/>
      <c r="BA332" s="109"/>
      <c r="BB332" s="109"/>
      <c r="BC332" s="109"/>
      <c r="BD332" s="109"/>
      <c r="BE332" s="109"/>
      <c r="BF332" s="109"/>
      <c r="BG332" s="109"/>
      <c r="BH332" s="109"/>
      <c r="BI332" s="109"/>
      <c r="BJ332" s="109"/>
      <c r="BK332" s="109"/>
      <c r="BL332" s="109"/>
      <c r="BM332" s="109"/>
      <c r="BN332" s="109"/>
      <c r="BO332" s="109"/>
      <c r="BP332" s="109"/>
      <c r="BQ332" s="109"/>
      <c r="BR332" s="109"/>
      <c r="BS332" s="109"/>
      <c r="BT332" s="109"/>
      <c r="BU332" s="109"/>
    </row>
    <row r="333" ht="15.75" customHeight="1">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10"/>
      <c r="X333" s="109"/>
      <c r="Y333" s="109"/>
      <c r="Z333" s="109"/>
      <c r="AA333" s="109"/>
      <c r="AB333" s="109"/>
      <c r="AC333" s="109"/>
      <c r="AD333" s="109"/>
      <c r="AE333" s="109"/>
      <c r="AF333" s="109"/>
      <c r="AG333" s="109"/>
      <c r="AH333" s="109"/>
      <c r="AI333" s="109"/>
      <c r="AJ333" s="109"/>
      <c r="AK333" s="109"/>
      <c r="AL333" s="109"/>
      <c r="AM333" s="109"/>
      <c r="AN333" s="109"/>
      <c r="AO333" s="109"/>
      <c r="AP333" s="109"/>
      <c r="AQ333" s="109"/>
      <c r="AR333" s="109"/>
      <c r="AS333" s="109"/>
      <c r="AT333" s="109"/>
      <c r="AU333" s="109"/>
      <c r="AV333" s="109"/>
      <c r="AW333" s="109"/>
      <c r="AX333" s="109"/>
      <c r="AY333" s="109"/>
      <c r="AZ333" s="109"/>
      <c r="BA333" s="109"/>
      <c r="BB333" s="109"/>
      <c r="BC333" s="109"/>
      <c r="BD333" s="109"/>
      <c r="BE333" s="109"/>
      <c r="BF333" s="109"/>
      <c r="BG333" s="109"/>
      <c r="BH333" s="109"/>
      <c r="BI333" s="109"/>
      <c r="BJ333" s="109"/>
      <c r="BK333" s="109"/>
      <c r="BL333" s="109"/>
      <c r="BM333" s="109"/>
      <c r="BN333" s="109"/>
      <c r="BO333" s="109"/>
      <c r="BP333" s="109"/>
      <c r="BQ333" s="109"/>
      <c r="BR333" s="109"/>
      <c r="BS333" s="109"/>
      <c r="BT333" s="109"/>
      <c r="BU333" s="109"/>
    </row>
    <row r="334" ht="15.75" customHeight="1">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10"/>
      <c r="X334" s="109"/>
      <c r="Y334" s="109"/>
      <c r="Z334" s="109"/>
      <c r="AA334" s="109"/>
      <c r="AB334" s="109"/>
      <c r="AC334" s="109"/>
      <c r="AD334" s="109"/>
      <c r="AE334" s="109"/>
      <c r="AF334" s="109"/>
      <c r="AG334" s="109"/>
      <c r="AH334" s="109"/>
      <c r="AI334" s="109"/>
      <c r="AJ334" s="109"/>
      <c r="AK334" s="109"/>
      <c r="AL334" s="109"/>
      <c r="AM334" s="109"/>
      <c r="AN334" s="109"/>
      <c r="AO334" s="109"/>
      <c r="AP334" s="109"/>
      <c r="AQ334" s="109"/>
      <c r="AR334" s="109"/>
      <c r="AS334" s="109"/>
      <c r="AT334" s="109"/>
      <c r="AU334" s="109"/>
      <c r="AV334" s="109"/>
      <c r="AW334" s="109"/>
      <c r="AX334" s="109"/>
      <c r="AY334" s="109"/>
      <c r="AZ334" s="109"/>
      <c r="BA334" s="109"/>
      <c r="BB334" s="109"/>
      <c r="BC334" s="109"/>
      <c r="BD334" s="109"/>
      <c r="BE334" s="109"/>
      <c r="BF334" s="109"/>
      <c r="BG334" s="109"/>
      <c r="BH334" s="109"/>
      <c r="BI334" s="109"/>
      <c r="BJ334" s="109"/>
      <c r="BK334" s="109"/>
      <c r="BL334" s="109"/>
      <c r="BM334" s="109"/>
      <c r="BN334" s="109"/>
      <c r="BO334" s="109"/>
      <c r="BP334" s="109"/>
      <c r="BQ334" s="109"/>
      <c r="BR334" s="109"/>
      <c r="BS334" s="109"/>
      <c r="BT334" s="109"/>
      <c r="BU334" s="109"/>
    </row>
    <row r="335" ht="15.75" customHeight="1">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10"/>
      <c r="X335" s="109"/>
      <c r="Y335" s="109"/>
      <c r="Z335" s="109"/>
      <c r="AA335" s="109"/>
      <c r="AB335" s="109"/>
      <c r="AC335" s="109"/>
      <c r="AD335" s="109"/>
      <c r="AE335" s="109"/>
      <c r="AF335" s="109"/>
      <c r="AG335" s="109"/>
      <c r="AH335" s="109"/>
      <c r="AI335" s="109"/>
      <c r="AJ335" s="109"/>
      <c r="AK335" s="109"/>
      <c r="AL335" s="109"/>
      <c r="AM335" s="109"/>
      <c r="AN335" s="109"/>
      <c r="AO335" s="109"/>
      <c r="AP335" s="109"/>
      <c r="AQ335" s="109"/>
      <c r="AR335" s="109"/>
      <c r="AS335" s="109"/>
      <c r="AT335" s="109"/>
      <c r="AU335" s="109"/>
      <c r="AV335" s="109"/>
      <c r="AW335" s="109"/>
      <c r="AX335" s="109"/>
      <c r="AY335" s="109"/>
      <c r="AZ335" s="109"/>
      <c r="BA335" s="109"/>
      <c r="BB335" s="109"/>
      <c r="BC335" s="109"/>
      <c r="BD335" s="109"/>
      <c r="BE335" s="109"/>
      <c r="BF335" s="109"/>
      <c r="BG335" s="109"/>
      <c r="BH335" s="109"/>
      <c r="BI335" s="109"/>
      <c r="BJ335" s="109"/>
      <c r="BK335" s="109"/>
      <c r="BL335" s="109"/>
      <c r="BM335" s="109"/>
      <c r="BN335" s="109"/>
      <c r="BO335" s="109"/>
      <c r="BP335" s="109"/>
      <c r="BQ335" s="109"/>
      <c r="BR335" s="109"/>
      <c r="BS335" s="109"/>
      <c r="BT335" s="109"/>
      <c r="BU335" s="109"/>
    </row>
    <row r="336" ht="15.75" customHeight="1">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10"/>
      <c r="X336" s="109"/>
      <c r="Y336" s="109"/>
      <c r="Z336" s="109"/>
      <c r="AA336" s="109"/>
      <c r="AB336" s="109"/>
      <c r="AC336" s="109"/>
      <c r="AD336" s="109"/>
      <c r="AE336" s="109"/>
      <c r="AF336" s="109"/>
      <c r="AG336" s="109"/>
      <c r="AH336" s="109"/>
      <c r="AI336" s="109"/>
      <c r="AJ336" s="109"/>
      <c r="AK336" s="109"/>
      <c r="AL336" s="109"/>
      <c r="AM336" s="109"/>
      <c r="AN336" s="109"/>
      <c r="AO336" s="109"/>
      <c r="AP336" s="109"/>
      <c r="AQ336" s="109"/>
      <c r="AR336" s="109"/>
      <c r="AS336" s="109"/>
      <c r="AT336" s="109"/>
      <c r="AU336" s="109"/>
      <c r="AV336" s="109"/>
      <c r="AW336" s="109"/>
      <c r="AX336" s="109"/>
      <c r="AY336" s="109"/>
      <c r="AZ336" s="109"/>
      <c r="BA336" s="109"/>
      <c r="BB336" s="109"/>
      <c r="BC336" s="109"/>
      <c r="BD336" s="109"/>
      <c r="BE336" s="109"/>
      <c r="BF336" s="109"/>
      <c r="BG336" s="109"/>
      <c r="BH336" s="109"/>
      <c r="BI336" s="109"/>
      <c r="BJ336" s="109"/>
      <c r="BK336" s="109"/>
      <c r="BL336" s="109"/>
      <c r="BM336" s="109"/>
      <c r="BN336" s="109"/>
      <c r="BO336" s="109"/>
      <c r="BP336" s="109"/>
      <c r="BQ336" s="109"/>
      <c r="BR336" s="109"/>
      <c r="BS336" s="109"/>
      <c r="BT336" s="109"/>
      <c r="BU336" s="109"/>
    </row>
    <row r="337" ht="15.75" customHeight="1">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10"/>
      <c r="X337" s="109"/>
      <c r="Y337" s="109"/>
      <c r="Z337" s="109"/>
      <c r="AA337" s="109"/>
      <c r="AB337" s="109"/>
      <c r="AC337" s="109"/>
      <c r="AD337" s="109"/>
      <c r="AE337" s="109"/>
      <c r="AF337" s="109"/>
      <c r="AG337" s="109"/>
      <c r="AH337" s="109"/>
      <c r="AI337" s="109"/>
      <c r="AJ337" s="109"/>
      <c r="AK337" s="109"/>
      <c r="AL337" s="109"/>
      <c r="AM337" s="109"/>
      <c r="AN337" s="109"/>
      <c r="AO337" s="109"/>
      <c r="AP337" s="109"/>
      <c r="AQ337" s="109"/>
      <c r="AR337" s="109"/>
      <c r="AS337" s="109"/>
      <c r="AT337" s="109"/>
      <c r="AU337" s="109"/>
      <c r="AV337" s="109"/>
      <c r="AW337" s="109"/>
      <c r="AX337" s="109"/>
      <c r="AY337" s="109"/>
      <c r="AZ337" s="109"/>
      <c r="BA337" s="109"/>
      <c r="BB337" s="109"/>
      <c r="BC337" s="109"/>
      <c r="BD337" s="109"/>
      <c r="BE337" s="109"/>
      <c r="BF337" s="109"/>
      <c r="BG337" s="109"/>
      <c r="BH337" s="109"/>
      <c r="BI337" s="109"/>
      <c r="BJ337" s="109"/>
      <c r="BK337" s="109"/>
      <c r="BL337" s="109"/>
      <c r="BM337" s="109"/>
      <c r="BN337" s="109"/>
      <c r="BO337" s="109"/>
      <c r="BP337" s="109"/>
      <c r="BQ337" s="109"/>
      <c r="BR337" s="109"/>
      <c r="BS337" s="109"/>
      <c r="BT337" s="109"/>
      <c r="BU337" s="109"/>
    </row>
    <row r="338" ht="15.75" customHeight="1">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10"/>
      <c r="X338" s="109"/>
      <c r="Y338" s="109"/>
      <c r="Z338" s="109"/>
      <c r="AA338" s="109"/>
      <c r="AB338" s="109"/>
      <c r="AC338" s="109"/>
      <c r="AD338" s="109"/>
      <c r="AE338" s="109"/>
      <c r="AF338" s="109"/>
      <c r="AG338" s="109"/>
      <c r="AH338" s="109"/>
      <c r="AI338" s="109"/>
      <c r="AJ338" s="109"/>
      <c r="AK338" s="109"/>
      <c r="AL338" s="109"/>
      <c r="AM338" s="109"/>
      <c r="AN338" s="109"/>
      <c r="AO338" s="109"/>
      <c r="AP338" s="109"/>
      <c r="AQ338" s="109"/>
      <c r="AR338" s="109"/>
      <c r="AS338" s="109"/>
      <c r="AT338" s="109"/>
      <c r="AU338" s="109"/>
      <c r="AV338" s="109"/>
      <c r="AW338" s="109"/>
      <c r="AX338" s="109"/>
      <c r="AY338" s="109"/>
      <c r="AZ338" s="109"/>
      <c r="BA338" s="109"/>
      <c r="BB338" s="109"/>
      <c r="BC338" s="109"/>
      <c r="BD338" s="109"/>
      <c r="BE338" s="109"/>
      <c r="BF338" s="109"/>
      <c r="BG338" s="109"/>
      <c r="BH338" s="109"/>
      <c r="BI338" s="109"/>
      <c r="BJ338" s="109"/>
      <c r="BK338" s="109"/>
      <c r="BL338" s="109"/>
      <c r="BM338" s="109"/>
      <c r="BN338" s="109"/>
      <c r="BO338" s="109"/>
      <c r="BP338" s="109"/>
      <c r="BQ338" s="109"/>
      <c r="BR338" s="109"/>
      <c r="BS338" s="109"/>
      <c r="BT338" s="109"/>
      <c r="BU338" s="109"/>
    </row>
    <row r="339" ht="15.75" customHeight="1">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10"/>
      <c r="X339" s="109"/>
      <c r="Y339" s="109"/>
      <c r="Z339" s="109"/>
      <c r="AA339" s="109"/>
      <c r="AB339" s="109"/>
      <c r="AC339" s="109"/>
      <c r="AD339" s="109"/>
      <c r="AE339" s="109"/>
      <c r="AF339" s="109"/>
      <c r="AG339" s="109"/>
      <c r="AH339" s="109"/>
      <c r="AI339" s="109"/>
      <c r="AJ339" s="109"/>
      <c r="AK339" s="109"/>
      <c r="AL339" s="109"/>
      <c r="AM339" s="109"/>
      <c r="AN339" s="109"/>
      <c r="AO339" s="109"/>
      <c r="AP339" s="109"/>
      <c r="AQ339" s="109"/>
      <c r="AR339" s="109"/>
      <c r="AS339" s="109"/>
      <c r="AT339" s="109"/>
      <c r="AU339" s="109"/>
      <c r="AV339" s="109"/>
      <c r="AW339" s="109"/>
      <c r="AX339" s="109"/>
      <c r="AY339" s="109"/>
      <c r="AZ339" s="109"/>
      <c r="BA339" s="109"/>
      <c r="BB339" s="109"/>
      <c r="BC339" s="109"/>
      <c r="BD339" s="109"/>
      <c r="BE339" s="109"/>
      <c r="BF339" s="109"/>
      <c r="BG339" s="109"/>
      <c r="BH339" s="109"/>
      <c r="BI339" s="109"/>
      <c r="BJ339" s="109"/>
      <c r="BK339" s="109"/>
      <c r="BL339" s="109"/>
      <c r="BM339" s="109"/>
      <c r="BN339" s="109"/>
      <c r="BO339" s="109"/>
      <c r="BP339" s="109"/>
      <c r="BQ339" s="109"/>
      <c r="BR339" s="109"/>
      <c r="BS339" s="109"/>
      <c r="BT339" s="109"/>
      <c r="BU339" s="109"/>
    </row>
    <row r="340" ht="15.75" customHeight="1">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10"/>
      <c r="X340" s="109"/>
      <c r="Y340" s="109"/>
      <c r="Z340" s="109"/>
      <c r="AA340" s="109"/>
      <c r="AB340" s="109"/>
      <c r="AC340" s="109"/>
      <c r="AD340" s="109"/>
      <c r="AE340" s="109"/>
      <c r="AF340" s="109"/>
      <c r="AG340" s="109"/>
      <c r="AH340" s="109"/>
      <c r="AI340" s="109"/>
      <c r="AJ340" s="109"/>
      <c r="AK340" s="109"/>
      <c r="AL340" s="109"/>
      <c r="AM340" s="109"/>
      <c r="AN340" s="109"/>
      <c r="AO340" s="109"/>
      <c r="AP340" s="109"/>
      <c r="AQ340" s="109"/>
      <c r="AR340" s="109"/>
      <c r="AS340" s="109"/>
      <c r="AT340" s="109"/>
      <c r="AU340" s="109"/>
      <c r="AV340" s="109"/>
      <c r="AW340" s="109"/>
      <c r="AX340" s="109"/>
      <c r="AY340" s="109"/>
      <c r="AZ340" s="109"/>
      <c r="BA340" s="109"/>
      <c r="BB340" s="109"/>
      <c r="BC340" s="109"/>
      <c r="BD340" s="109"/>
      <c r="BE340" s="109"/>
      <c r="BF340" s="109"/>
      <c r="BG340" s="109"/>
      <c r="BH340" s="109"/>
      <c r="BI340" s="109"/>
      <c r="BJ340" s="109"/>
      <c r="BK340" s="109"/>
      <c r="BL340" s="109"/>
      <c r="BM340" s="109"/>
      <c r="BN340" s="109"/>
      <c r="BO340" s="109"/>
      <c r="BP340" s="109"/>
      <c r="BQ340" s="109"/>
      <c r="BR340" s="109"/>
      <c r="BS340" s="109"/>
      <c r="BT340" s="109"/>
      <c r="BU340" s="109"/>
    </row>
    <row r="341" ht="15.75" customHeight="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10"/>
      <c r="X341" s="109"/>
      <c r="Y341" s="109"/>
      <c r="Z341" s="109"/>
      <c r="AA341" s="109"/>
      <c r="AB341" s="109"/>
      <c r="AC341" s="109"/>
      <c r="AD341" s="109"/>
      <c r="AE341" s="109"/>
      <c r="AF341" s="109"/>
      <c r="AG341" s="109"/>
      <c r="AH341" s="109"/>
      <c r="AI341" s="109"/>
      <c r="AJ341" s="109"/>
      <c r="AK341" s="109"/>
      <c r="AL341" s="109"/>
      <c r="AM341" s="109"/>
      <c r="AN341" s="109"/>
      <c r="AO341" s="109"/>
      <c r="AP341" s="109"/>
      <c r="AQ341" s="109"/>
      <c r="AR341" s="109"/>
      <c r="AS341" s="109"/>
      <c r="AT341" s="109"/>
      <c r="AU341" s="109"/>
      <c r="AV341" s="109"/>
      <c r="AW341" s="109"/>
      <c r="AX341" s="109"/>
      <c r="AY341" s="109"/>
      <c r="AZ341" s="109"/>
      <c r="BA341" s="109"/>
      <c r="BB341" s="109"/>
      <c r="BC341" s="109"/>
      <c r="BD341" s="109"/>
      <c r="BE341" s="109"/>
      <c r="BF341" s="109"/>
      <c r="BG341" s="109"/>
      <c r="BH341" s="109"/>
      <c r="BI341" s="109"/>
      <c r="BJ341" s="109"/>
      <c r="BK341" s="109"/>
      <c r="BL341" s="109"/>
      <c r="BM341" s="109"/>
      <c r="BN341" s="109"/>
      <c r="BO341" s="109"/>
      <c r="BP341" s="109"/>
      <c r="BQ341" s="109"/>
      <c r="BR341" s="109"/>
      <c r="BS341" s="109"/>
      <c r="BT341" s="109"/>
      <c r="BU341" s="109"/>
    </row>
    <row r="342" ht="15.75" customHeight="1">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10"/>
      <c r="X342" s="109"/>
      <c r="Y342" s="109"/>
      <c r="Z342" s="109"/>
      <c r="AA342" s="109"/>
      <c r="AB342" s="109"/>
      <c r="AC342" s="109"/>
      <c r="AD342" s="109"/>
      <c r="AE342" s="109"/>
      <c r="AF342" s="109"/>
      <c r="AG342" s="109"/>
      <c r="AH342" s="109"/>
      <c r="AI342" s="109"/>
      <c r="AJ342" s="109"/>
      <c r="AK342" s="109"/>
      <c r="AL342" s="109"/>
      <c r="AM342" s="109"/>
      <c r="AN342" s="109"/>
      <c r="AO342" s="109"/>
      <c r="AP342" s="109"/>
      <c r="AQ342" s="109"/>
      <c r="AR342" s="109"/>
      <c r="AS342" s="109"/>
      <c r="AT342" s="109"/>
      <c r="AU342" s="109"/>
      <c r="AV342" s="109"/>
      <c r="AW342" s="109"/>
      <c r="AX342" s="109"/>
      <c r="AY342" s="109"/>
      <c r="AZ342" s="109"/>
      <c r="BA342" s="109"/>
      <c r="BB342" s="109"/>
      <c r="BC342" s="109"/>
      <c r="BD342" s="109"/>
      <c r="BE342" s="109"/>
      <c r="BF342" s="109"/>
      <c r="BG342" s="109"/>
      <c r="BH342" s="109"/>
      <c r="BI342" s="109"/>
      <c r="BJ342" s="109"/>
      <c r="BK342" s="109"/>
      <c r="BL342" s="109"/>
      <c r="BM342" s="109"/>
      <c r="BN342" s="109"/>
      <c r="BO342" s="109"/>
      <c r="BP342" s="109"/>
      <c r="BQ342" s="109"/>
      <c r="BR342" s="109"/>
      <c r="BS342" s="109"/>
      <c r="BT342" s="109"/>
      <c r="BU342" s="109"/>
    </row>
    <row r="343" ht="15.75" customHeight="1">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10"/>
      <c r="X343" s="109"/>
      <c r="Y343" s="109"/>
      <c r="Z343" s="109"/>
      <c r="AA343" s="109"/>
      <c r="AB343" s="109"/>
      <c r="AC343" s="109"/>
      <c r="AD343" s="109"/>
      <c r="AE343" s="109"/>
      <c r="AF343" s="109"/>
      <c r="AG343" s="109"/>
      <c r="AH343" s="109"/>
      <c r="AI343" s="109"/>
      <c r="AJ343" s="109"/>
      <c r="AK343" s="109"/>
      <c r="AL343" s="109"/>
      <c r="AM343" s="109"/>
      <c r="AN343" s="109"/>
      <c r="AO343" s="109"/>
      <c r="AP343" s="109"/>
      <c r="AQ343" s="109"/>
      <c r="AR343" s="109"/>
      <c r="AS343" s="109"/>
      <c r="AT343" s="109"/>
      <c r="AU343" s="109"/>
      <c r="AV343" s="109"/>
      <c r="AW343" s="109"/>
      <c r="AX343" s="109"/>
      <c r="AY343" s="109"/>
      <c r="AZ343" s="109"/>
      <c r="BA343" s="109"/>
      <c r="BB343" s="109"/>
      <c r="BC343" s="109"/>
      <c r="BD343" s="109"/>
      <c r="BE343" s="109"/>
      <c r="BF343" s="109"/>
      <c r="BG343" s="109"/>
      <c r="BH343" s="109"/>
      <c r="BI343" s="109"/>
      <c r="BJ343" s="109"/>
      <c r="BK343" s="109"/>
      <c r="BL343" s="109"/>
      <c r="BM343" s="109"/>
      <c r="BN343" s="109"/>
      <c r="BO343" s="109"/>
      <c r="BP343" s="109"/>
      <c r="BQ343" s="109"/>
      <c r="BR343" s="109"/>
      <c r="BS343" s="109"/>
      <c r="BT343" s="109"/>
      <c r="BU343" s="109"/>
    </row>
    <row r="344" ht="15.75" customHeight="1">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10"/>
      <c r="X344" s="109"/>
      <c r="Y344" s="109"/>
      <c r="Z344" s="109"/>
      <c r="AA344" s="109"/>
      <c r="AB344" s="109"/>
      <c r="AC344" s="109"/>
      <c r="AD344" s="109"/>
      <c r="AE344" s="109"/>
      <c r="AF344" s="109"/>
      <c r="AG344" s="109"/>
      <c r="AH344" s="109"/>
      <c r="AI344" s="109"/>
      <c r="AJ344" s="109"/>
      <c r="AK344" s="109"/>
      <c r="AL344" s="109"/>
      <c r="AM344" s="109"/>
      <c r="AN344" s="109"/>
      <c r="AO344" s="109"/>
      <c r="AP344" s="109"/>
      <c r="AQ344" s="109"/>
      <c r="AR344" s="109"/>
      <c r="AS344" s="109"/>
      <c r="AT344" s="109"/>
      <c r="AU344" s="109"/>
      <c r="AV344" s="109"/>
      <c r="AW344" s="109"/>
      <c r="AX344" s="109"/>
      <c r="AY344" s="109"/>
      <c r="AZ344" s="109"/>
      <c r="BA344" s="109"/>
      <c r="BB344" s="109"/>
      <c r="BC344" s="109"/>
      <c r="BD344" s="109"/>
      <c r="BE344" s="109"/>
      <c r="BF344" s="109"/>
      <c r="BG344" s="109"/>
      <c r="BH344" s="109"/>
      <c r="BI344" s="109"/>
      <c r="BJ344" s="109"/>
      <c r="BK344" s="109"/>
      <c r="BL344" s="109"/>
      <c r="BM344" s="109"/>
      <c r="BN344" s="109"/>
      <c r="BO344" s="109"/>
      <c r="BP344" s="109"/>
      <c r="BQ344" s="109"/>
      <c r="BR344" s="109"/>
      <c r="BS344" s="109"/>
      <c r="BT344" s="109"/>
      <c r="BU344" s="109"/>
    </row>
    <row r="345" ht="15.75" customHeight="1">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10"/>
      <c r="X345" s="109"/>
      <c r="Y345" s="109"/>
      <c r="Z345" s="109"/>
      <c r="AA345" s="109"/>
      <c r="AB345" s="109"/>
      <c r="AC345" s="109"/>
      <c r="AD345" s="109"/>
      <c r="AE345" s="109"/>
      <c r="AF345" s="109"/>
      <c r="AG345" s="109"/>
      <c r="AH345" s="109"/>
      <c r="AI345" s="109"/>
      <c r="AJ345" s="109"/>
      <c r="AK345" s="109"/>
      <c r="AL345" s="109"/>
      <c r="AM345" s="109"/>
      <c r="AN345" s="109"/>
      <c r="AO345" s="109"/>
      <c r="AP345" s="109"/>
      <c r="AQ345" s="109"/>
      <c r="AR345" s="109"/>
      <c r="AS345" s="109"/>
      <c r="AT345" s="109"/>
      <c r="AU345" s="109"/>
      <c r="AV345" s="109"/>
      <c r="AW345" s="109"/>
      <c r="AX345" s="109"/>
      <c r="AY345" s="109"/>
      <c r="AZ345" s="109"/>
      <c r="BA345" s="109"/>
      <c r="BB345" s="109"/>
      <c r="BC345" s="109"/>
      <c r="BD345" s="109"/>
      <c r="BE345" s="109"/>
      <c r="BF345" s="109"/>
      <c r="BG345" s="109"/>
      <c r="BH345" s="109"/>
      <c r="BI345" s="109"/>
      <c r="BJ345" s="109"/>
      <c r="BK345" s="109"/>
      <c r="BL345" s="109"/>
      <c r="BM345" s="109"/>
      <c r="BN345" s="109"/>
      <c r="BO345" s="109"/>
      <c r="BP345" s="109"/>
      <c r="BQ345" s="109"/>
      <c r="BR345" s="109"/>
      <c r="BS345" s="109"/>
      <c r="BT345" s="109"/>
      <c r="BU345" s="109"/>
    </row>
    <row r="346" ht="15.75" customHeight="1">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10"/>
      <c r="X346" s="109"/>
      <c r="Y346" s="109"/>
      <c r="Z346" s="109"/>
      <c r="AA346" s="109"/>
      <c r="AB346" s="109"/>
      <c r="AC346" s="109"/>
      <c r="AD346" s="109"/>
      <c r="AE346" s="109"/>
      <c r="AF346" s="109"/>
      <c r="AG346" s="109"/>
      <c r="AH346" s="109"/>
      <c r="AI346" s="109"/>
      <c r="AJ346" s="109"/>
      <c r="AK346" s="109"/>
      <c r="AL346" s="109"/>
      <c r="AM346" s="109"/>
      <c r="AN346" s="109"/>
      <c r="AO346" s="109"/>
      <c r="AP346" s="109"/>
      <c r="AQ346" s="109"/>
      <c r="AR346" s="109"/>
      <c r="AS346" s="109"/>
      <c r="AT346" s="109"/>
      <c r="AU346" s="109"/>
      <c r="AV346" s="109"/>
      <c r="AW346" s="109"/>
      <c r="AX346" s="109"/>
      <c r="AY346" s="109"/>
      <c r="AZ346" s="109"/>
      <c r="BA346" s="109"/>
      <c r="BB346" s="109"/>
      <c r="BC346" s="109"/>
      <c r="BD346" s="109"/>
      <c r="BE346" s="109"/>
      <c r="BF346" s="109"/>
      <c r="BG346" s="109"/>
      <c r="BH346" s="109"/>
      <c r="BI346" s="109"/>
      <c r="BJ346" s="109"/>
      <c r="BK346" s="109"/>
      <c r="BL346" s="109"/>
      <c r="BM346" s="109"/>
      <c r="BN346" s="109"/>
      <c r="BO346" s="109"/>
      <c r="BP346" s="109"/>
      <c r="BQ346" s="109"/>
      <c r="BR346" s="109"/>
      <c r="BS346" s="109"/>
      <c r="BT346" s="109"/>
      <c r="BU346" s="109"/>
    </row>
    <row r="347" ht="15.75" customHeight="1">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10"/>
      <c r="X347" s="109"/>
      <c r="Y347" s="109"/>
      <c r="Z347" s="109"/>
      <c r="AA347" s="109"/>
      <c r="AB347" s="109"/>
      <c r="AC347" s="109"/>
      <c r="AD347" s="109"/>
      <c r="AE347" s="109"/>
      <c r="AF347" s="109"/>
      <c r="AG347" s="109"/>
      <c r="AH347" s="109"/>
      <c r="AI347" s="109"/>
      <c r="AJ347" s="109"/>
      <c r="AK347" s="109"/>
      <c r="AL347" s="109"/>
      <c r="AM347" s="109"/>
      <c r="AN347" s="109"/>
      <c r="AO347" s="109"/>
      <c r="AP347" s="109"/>
      <c r="AQ347" s="109"/>
      <c r="AR347" s="109"/>
      <c r="AS347" s="109"/>
      <c r="AT347" s="109"/>
      <c r="AU347" s="109"/>
      <c r="AV347" s="109"/>
      <c r="AW347" s="109"/>
      <c r="AX347" s="109"/>
      <c r="AY347" s="109"/>
      <c r="AZ347" s="109"/>
      <c r="BA347" s="109"/>
      <c r="BB347" s="109"/>
      <c r="BC347" s="109"/>
      <c r="BD347" s="109"/>
      <c r="BE347" s="109"/>
      <c r="BF347" s="109"/>
      <c r="BG347" s="109"/>
      <c r="BH347" s="109"/>
      <c r="BI347" s="109"/>
      <c r="BJ347" s="109"/>
      <c r="BK347" s="109"/>
      <c r="BL347" s="109"/>
      <c r="BM347" s="109"/>
      <c r="BN347" s="109"/>
      <c r="BO347" s="109"/>
      <c r="BP347" s="109"/>
      <c r="BQ347" s="109"/>
      <c r="BR347" s="109"/>
      <c r="BS347" s="109"/>
      <c r="BT347" s="109"/>
      <c r="BU347" s="109"/>
    </row>
    <row r="348" ht="15.75" customHeight="1">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10"/>
      <c r="X348" s="109"/>
      <c r="Y348" s="109"/>
      <c r="Z348" s="109"/>
      <c r="AA348" s="109"/>
      <c r="AB348" s="109"/>
      <c r="AC348" s="109"/>
      <c r="AD348" s="109"/>
      <c r="AE348" s="109"/>
      <c r="AF348" s="109"/>
      <c r="AG348" s="109"/>
      <c r="AH348" s="109"/>
      <c r="AI348" s="109"/>
      <c r="AJ348" s="109"/>
      <c r="AK348" s="109"/>
      <c r="AL348" s="109"/>
      <c r="AM348" s="109"/>
      <c r="AN348" s="109"/>
      <c r="AO348" s="109"/>
      <c r="AP348" s="109"/>
      <c r="AQ348" s="109"/>
      <c r="AR348" s="109"/>
      <c r="AS348" s="109"/>
      <c r="AT348" s="109"/>
      <c r="AU348" s="109"/>
      <c r="AV348" s="109"/>
      <c r="AW348" s="109"/>
      <c r="AX348" s="109"/>
      <c r="AY348" s="109"/>
      <c r="AZ348" s="109"/>
      <c r="BA348" s="109"/>
      <c r="BB348" s="109"/>
      <c r="BC348" s="109"/>
      <c r="BD348" s="109"/>
      <c r="BE348" s="109"/>
      <c r="BF348" s="109"/>
      <c r="BG348" s="109"/>
      <c r="BH348" s="109"/>
      <c r="BI348" s="109"/>
      <c r="BJ348" s="109"/>
      <c r="BK348" s="109"/>
      <c r="BL348" s="109"/>
      <c r="BM348" s="109"/>
      <c r="BN348" s="109"/>
      <c r="BO348" s="109"/>
      <c r="BP348" s="109"/>
      <c r="BQ348" s="109"/>
      <c r="BR348" s="109"/>
      <c r="BS348" s="109"/>
      <c r="BT348" s="109"/>
      <c r="BU348" s="109"/>
    </row>
    <row r="349" ht="15.75" customHeight="1">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10"/>
      <c r="X349" s="109"/>
      <c r="Y349" s="109"/>
      <c r="Z349" s="109"/>
      <c r="AA349" s="109"/>
      <c r="AB349" s="109"/>
      <c r="AC349" s="109"/>
      <c r="AD349" s="109"/>
      <c r="AE349" s="109"/>
      <c r="AF349" s="109"/>
      <c r="AG349" s="109"/>
      <c r="AH349" s="109"/>
      <c r="AI349" s="109"/>
      <c r="AJ349" s="109"/>
      <c r="AK349" s="109"/>
      <c r="AL349" s="109"/>
      <c r="AM349" s="109"/>
      <c r="AN349" s="109"/>
      <c r="AO349" s="109"/>
      <c r="AP349" s="109"/>
      <c r="AQ349" s="109"/>
      <c r="AR349" s="109"/>
      <c r="AS349" s="109"/>
      <c r="AT349" s="109"/>
      <c r="AU349" s="109"/>
      <c r="AV349" s="109"/>
      <c r="AW349" s="109"/>
      <c r="AX349" s="109"/>
      <c r="AY349" s="109"/>
      <c r="AZ349" s="109"/>
      <c r="BA349" s="109"/>
      <c r="BB349" s="109"/>
      <c r="BC349" s="109"/>
      <c r="BD349" s="109"/>
      <c r="BE349" s="109"/>
      <c r="BF349" s="109"/>
      <c r="BG349" s="109"/>
      <c r="BH349" s="109"/>
      <c r="BI349" s="109"/>
      <c r="BJ349" s="109"/>
      <c r="BK349" s="109"/>
      <c r="BL349" s="109"/>
      <c r="BM349" s="109"/>
      <c r="BN349" s="109"/>
      <c r="BO349" s="109"/>
      <c r="BP349" s="109"/>
      <c r="BQ349" s="109"/>
      <c r="BR349" s="109"/>
      <c r="BS349" s="109"/>
      <c r="BT349" s="109"/>
      <c r="BU349" s="109"/>
    </row>
    <row r="350" ht="15.75" customHeight="1">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10"/>
      <c r="X350" s="109"/>
      <c r="Y350" s="109"/>
      <c r="Z350" s="109"/>
      <c r="AA350" s="109"/>
      <c r="AB350" s="109"/>
      <c r="AC350" s="109"/>
      <c r="AD350" s="109"/>
      <c r="AE350" s="109"/>
      <c r="AF350" s="109"/>
      <c r="AG350" s="109"/>
      <c r="AH350" s="109"/>
      <c r="AI350" s="109"/>
      <c r="AJ350" s="109"/>
      <c r="AK350" s="109"/>
      <c r="AL350" s="109"/>
      <c r="AM350" s="109"/>
      <c r="AN350" s="109"/>
      <c r="AO350" s="109"/>
      <c r="AP350" s="109"/>
      <c r="AQ350" s="109"/>
      <c r="AR350" s="109"/>
      <c r="AS350" s="109"/>
      <c r="AT350" s="109"/>
      <c r="AU350" s="109"/>
      <c r="AV350" s="109"/>
      <c r="AW350" s="109"/>
      <c r="AX350" s="109"/>
      <c r="AY350" s="109"/>
      <c r="AZ350" s="109"/>
      <c r="BA350" s="109"/>
      <c r="BB350" s="109"/>
      <c r="BC350" s="109"/>
      <c r="BD350" s="109"/>
      <c r="BE350" s="109"/>
      <c r="BF350" s="109"/>
      <c r="BG350" s="109"/>
      <c r="BH350" s="109"/>
      <c r="BI350" s="109"/>
      <c r="BJ350" s="109"/>
      <c r="BK350" s="109"/>
      <c r="BL350" s="109"/>
      <c r="BM350" s="109"/>
      <c r="BN350" s="109"/>
      <c r="BO350" s="109"/>
      <c r="BP350" s="109"/>
      <c r="BQ350" s="109"/>
      <c r="BR350" s="109"/>
      <c r="BS350" s="109"/>
      <c r="BT350" s="109"/>
      <c r="BU350" s="109"/>
    </row>
    <row r="351" ht="15.75" customHeight="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10"/>
      <c r="X351" s="109"/>
      <c r="Y351" s="109"/>
      <c r="Z351" s="109"/>
      <c r="AA351" s="109"/>
      <c r="AB351" s="109"/>
      <c r="AC351" s="109"/>
      <c r="AD351" s="109"/>
      <c r="AE351" s="109"/>
      <c r="AF351" s="109"/>
      <c r="AG351" s="109"/>
      <c r="AH351" s="109"/>
      <c r="AI351" s="109"/>
      <c r="AJ351" s="109"/>
      <c r="AK351" s="109"/>
      <c r="AL351" s="109"/>
      <c r="AM351" s="109"/>
      <c r="AN351" s="109"/>
      <c r="AO351" s="109"/>
      <c r="AP351" s="109"/>
      <c r="AQ351" s="109"/>
      <c r="AR351" s="109"/>
      <c r="AS351" s="109"/>
      <c r="AT351" s="109"/>
      <c r="AU351" s="109"/>
      <c r="AV351" s="109"/>
      <c r="AW351" s="109"/>
      <c r="AX351" s="109"/>
      <c r="AY351" s="109"/>
      <c r="AZ351" s="109"/>
      <c r="BA351" s="109"/>
      <c r="BB351" s="109"/>
      <c r="BC351" s="109"/>
      <c r="BD351" s="109"/>
      <c r="BE351" s="109"/>
      <c r="BF351" s="109"/>
      <c r="BG351" s="109"/>
      <c r="BH351" s="109"/>
      <c r="BI351" s="109"/>
      <c r="BJ351" s="109"/>
      <c r="BK351" s="109"/>
      <c r="BL351" s="109"/>
      <c r="BM351" s="109"/>
      <c r="BN351" s="109"/>
      <c r="BO351" s="109"/>
      <c r="BP351" s="109"/>
      <c r="BQ351" s="109"/>
      <c r="BR351" s="109"/>
      <c r="BS351" s="109"/>
      <c r="BT351" s="109"/>
      <c r="BU351" s="109"/>
    </row>
    <row r="352" ht="15.75" customHeight="1">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10"/>
      <c r="X352" s="109"/>
      <c r="Y352" s="109"/>
      <c r="Z352" s="109"/>
      <c r="AA352" s="109"/>
      <c r="AB352" s="109"/>
      <c r="AC352" s="109"/>
      <c r="AD352" s="109"/>
      <c r="AE352" s="109"/>
      <c r="AF352" s="109"/>
      <c r="AG352" s="109"/>
      <c r="AH352" s="109"/>
      <c r="AI352" s="109"/>
      <c r="AJ352" s="109"/>
      <c r="AK352" s="109"/>
      <c r="AL352" s="109"/>
      <c r="AM352" s="109"/>
      <c r="AN352" s="109"/>
      <c r="AO352" s="109"/>
      <c r="AP352" s="109"/>
      <c r="AQ352" s="109"/>
      <c r="AR352" s="109"/>
      <c r="AS352" s="109"/>
      <c r="AT352" s="109"/>
      <c r="AU352" s="109"/>
      <c r="AV352" s="109"/>
      <c r="AW352" s="109"/>
      <c r="AX352" s="109"/>
      <c r="AY352" s="109"/>
      <c r="AZ352" s="109"/>
      <c r="BA352" s="109"/>
      <c r="BB352" s="109"/>
      <c r="BC352" s="109"/>
      <c r="BD352" s="109"/>
      <c r="BE352" s="109"/>
      <c r="BF352" s="109"/>
      <c r="BG352" s="109"/>
      <c r="BH352" s="109"/>
      <c r="BI352" s="109"/>
      <c r="BJ352" s="109"/>
      <c r="BK352" s="109"/>
      <c r="BL352" s="109"/>
      <c r="BM352" s="109"/>
      <c r="BN352" s="109"/>
      <c r="BO352" s="109"/>
      <c r="BP352" s="109"/>
      <c r="BQ352" s="109"/>
      <c r="BR352" s="109"/>
      <c r="BS352" s="109"/>
      <c r="BT352" s="109"/>
      <c r="BU352" s="109"/>
    </row>
    <row r="353" ht="15.75" customHeight="1">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10"/>
      <c r="X353" s="109"/>
      <c r="Y353" s="109"/>
      <c r="Z353" s="109"/>
      <c r="AA353" s="109"/>
      <c r="AB353" s="109"/>
      <c r="AC353" s="109"/>
      <c r="AD353" s="109"/>
      <c r="AE353" s="109"/>
      <c r="AF353" s="109"/>
      <c r="AG353" s="109"/>
      <c r="AH353" s="109"/>
      <c r="AI353" s="109"/>
      <c r="AJ353" s="109"/>
      <c r="AK353" s="109"/>
      <c r="AL353" s="109"/>
      <c r="AM353" s="109"/>
      <c r="AN353" s="109"/>
      <c r="AO353" s="109"/>
      <c r="AP353" s="109"/>
      <c r="AQ353" s="109"/>
      <c r="AR353" s="109"/>
      <c r="AS353" s="109"/>
      <c r="AT353" s="109"/>
      <c r="AU353" s="109"/>
      <c r="AV353" s="109"/>
      <c r="AW353" s="109"/>
      <c r="AX353" s="109"/>
      <c r="AY353" s="109"/>
      <c r="AZ353" s="109"/>
      <c r="BA353" s="109"/>
      <c r="BB353" s="109"/>
      <c r="BC353" s="109"/>
      <c r="BD353" s="109"/>
      <c r="BE353" s="109"/>
      <c r="BF353" s="109"/>
      <c r="BG353" s="109"/>
      <c r="BH353" s="109"/>
      <c r="BI353" s="109"/>
      <c r="BJ353" s="109"/>
      <c r="BK353" s="109"/>
      <c r="BL353" s="109"/>
      <c r="BM353" s="109"/>
      <c r="BN353" s="109"/>
      <c r="BO353" s="109"/>
      <c r="BP353" s="109"/>
      <c r="BQ353" s="109"/>
      <c r="BR353" s="109"/>
      <c r="BS353" s="109"/>
      <c r="BT353" s="109"/>
      <c r="BU353" s="109"/>
    </row>
    <row r="354" ht="15.75" customHeight="1">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10"/>
      <c r="X354" s="109"/>
      <c r="Y354" s="109"/>
      <c r="Z354" s="109"/>
      <c r="AA354" s="109"/>
      <c r="AB354" s="109"/>
      <c r="AC354" s="109"/>
      <c r="AD354" s="109"/>
      <c r="AE354" s="109"/>
      <c r="AF354" s="109"/>
      <c r="AG354" s="109"/>
      <c r="AH354" s="109"/>
      <c r="AI354" s="109"/>
      <c r="AJ354" s="109"/>
      <c r="AK354" s="109"/>
      <c r="AL354" s="109"/>
      <c r="AM354" s="109"/>
      <c r="AN354" s="109"/>
      <c r="AO354" s="109"/>
      <c r="AP354" s="109"/>
      <c r="AQ354" s="109"/>
      <c r="AR354" s="109"/>
      <c r="AS354" s="109"/>
      <c r="AT354" s="109"/>
      <c r="AU354" s="109"/>
      <c r="AV354" s="109"/>
      <c r="AW354" s="109"/>
      <c r="AX354" s="109"/>
      <c r="AY354" s="109"/>
      <c r="AZ354" s="109"/>
      <c r="BA354" s="109"/>
      <c r="BB354" s="109"/>
      <c r="BC354" s="109"/>
      <c r="BD354" s="109"/>
      <c r="BE354" s="109"/>
      <c r="BF354" s="109"/>
      <c r="BG354" s="109"/>
      <c r="BH354" s="109"/>
      <c r="BI354" s="109"/>
      <c r="BJ354" s="109"/>
      <c r="BK354" s="109"/>
      <c r="BL354" s="109"/>
      <c r="BM354" s="109"/>
      <c r="BN354" s="109"/>
      <c r="BO354" s="109"/>
      <c r="BP354" s="109"/>
      <c r="BQ354" s="109"/>
      <c r="BR354" s="109"/>
      <c r="BS354" s="109"/>
      <c r="BT354" s="109"/>
      <c r="BU354" s="109"/>
    </row>
    <row r="355" ht="15.75" customHeight="1">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10"/>
      <c r="X355" s="109"/>
      <c r="Y355" s="109"/>
      <c r="Z355" s="109"/>
      <c r="AA355" s="109"/>
      <c r="AB355" s="109"/>
      <c r="AC355" s="109"/>
      <c r="AD355" s="109"/>
      <c r="AE355" s="109"/>
      <c r="AF355" s="109"/>
      <c r="AG355" s="109"/>
      <c r="AH355" s="109"/>
      <c r="AI355" s="109"/>
      <c r="AJ355" s="109"/>
      <c r="AK355" s="109"/>
      <c r="AL355" s="109"/>
      <c r="AM355" s="109"/>
      <c r="AN355" s="109"/>
      <c r="AO355" s="109"/>
      <c r="AP355" s="109"/>
      <c r="AQ355" s="109"/>
      <c r="AR355" s="109"/>
      <c r="AS355" s="109"/>
      <c r="AT355" s="109"/>
      <c r="AU355" s="109"/>
      <c r="AV355" s="109"/>
      <c r="AW355" s="109"/>
      <c r="AX355" s="109"/>
      <c r="AY355" s="109"/>
      <c r="AZ355" s="109"/>
      <c r="BA355" s="109"/>
      <c r="BB355" s="109"/>
      <c r="BC355" s="109"/>
      <c r="BD355" s="109"/>
      <c r="BE355" s="109"/>
      <c r="BF355" s="109"/>
      <c r="BG355" s="109"/>
      <c r="BH355" s="109"/>
      <c r="BI355" s="109"/>
      <c r="BJ355" s="109"/>
      <c r="BK355" s="109"/>
      <c r="BL355" s="109"/>
      <c r="BM355" s="109"/>
      <c r="BN355" s="109"/>
      <c r="BO355" s="109"/>
      <c r="BP355" s="109"/>
      <c r="BQ355" s="109"/>
      <c r="BR355" s="109"/>
      <c r="BS355" s="109"/>
      <c r="BT355" s="109"/>
      <c r="BU355" s="109"/>
    </row>
    <row r="356" ht="15.75" customHeight="1">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10"/>
      <c r="X356" s="109"/>
      <c r="Y356" s="109"/>
      <c r="Z356" s="109"/>
      <c r="AA356" s="109"/>
      <c r="AB356" s="109"/>
      <c r="AC356" s="109"/>
      <c r="AD356" s="109"/>
      <c r="AE356" s="109"/>
      <c r="AF356" s="109"/>
      <c r="AG356" s="109"/>
      <c r="AH356" s="109"/>
      <c r="AI356" s="109"/>
      <c r="AJ356" s="109"/>
      <c r="AK356" s="109"/>
      <c r="AL356" s="109"/>
      <c r="AM356" s="109"/>
      <c r="AN356" s="109"/>
      <c r="AO356" s="109"/>
      <c r="AP356" s="109"/>
      <c r="AQ356" s="109"/>
      <c r="AR356" s="109"/>
      <c r="AS356" s="109"/>
      <c r="AT356" s="109"/>
      <c r="AU356" s="109"/>
      <c r="AV356" s="109"/>
      <c r="AW356" s="109"/>
      <c r="AX356" s="109"/>
      <c r="AY356" s="109"/>
      <c r="AZ356" s="109"/>
      <c r="BA356" s="109"/>
      <c r="BB356" s="109"/>
      <c r="BC356" s="109"/>
      <c r="BD356" s="109"/>
      <c r="BE356" s="109"/>
      <c r="BF356" s="109"/>
      <c r="BG356" s="109"/>
      <c r="BH356" s="109"/>
      <c r="BI356" s="109"/>
      <c r="BJ356" s="109"/>
      <c r="BK356" s="109"/>
      <c r="BL356" s="109"/>
      <c r="BM356" s="109"/>
      <c r="BN356" s="109"/>
      <c r="BO356" s="109"/>
      <c r="BP356" s="109"/>
      <c r="BQ356" s="109"/>
      <c r="BR356" s="109"/>
      <c r="BS356" s="109"/>
      <c r="BT356" s="109"/>
      <c r="BU356" s="109"/>
    </row>
    <row r="357" ht="15.75" customHeight="1">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10"/>
      <c r="X357" s="109"/>
      <c r="Y357" s="109"/>
      <c r="Z357" s="109"/>
      <c r="AA357" s="109"/>
      <c r="AB357" s="109"/>
      <c r="AC357" s="109"/>
      <c r="AD357" s="109"/>
      <c r="AE357" s="109"/>
      <c r="AF357" s="109"/>
      <c r="AG357" s="109"/>
      <c r="AH357" s="109"/>
      <c r="AI357" s="109"/>
      <c r="AJ357" s="109"/>
      <c r="AK357" s="109"/>
      <c r="AL357" s="109"/>
      <c r="AM357" s="109"/>
      <c r="AN357" s="109"/>
      <c r="AO357" s="109"/>
      <c r="AP357" s="109"/>
      <c r="AQ357" s="109"/>
      <c r="AR357" s="109"/>
      <c r="AS357" s="109"/>
      <c r="AT357" s="109"/>
      <c r="AU357" s="109"/>
      <c r="AV357" s="109"/>
      <c r="AW357" s="109"/>
      <c r="AX357" s="109"/>
      <c r="AY357" s="109"/>
      <c r="AZ357" s="109"/>
      <c r="BA357" s="109"/>
      <c r="BB357" s="109"/>
      <c r="BC357" s="109"/>
      <c r="BD357" s="109"/>
      <c r="BE357" s="109"/>
      <c r="BF357" s="109"/>
      <c r="BG357" s="109"/>
      <c r="BH357" s="109"/>
      <c r="BI357" s="109"/>
      <c r="BJ357" s="109"/>
      <c r="BK357" s="109"/>
      <c r="BL357" s="109"/>
      <c r="BM357" s="109"/>
      <c r="BN357" s="109"/>
      <c r="BO357" s="109"/>
      <c r="BP357" s="109"/>
      <c r="BQ357" s="109"/>
      <c r="BR357" s="109"/>
      <c r="BS357" s="109"/>
      <c r="BT357" s="109"/>
      <c r="BU357" s="109"/>
    </row>
    <row r="358" ht="15.75" customHeight="1">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10"/>
      <c r="X358" s="109"/>
      <c r="Y358" s="109"/>
      <c r="Z358" s="109"/>
      <c r="AA358" s="109"/>
      <c r="AB358" s="109"/>
      <c r="AC358" s="109"/>
      <c r="AD358" s="109"/>
      <c r="AE358" s="109"/>
      <c r="AF358" s="109"/>
      <c r="AG358" s="109"/>
      <c r="AH358" s="109"/>
      <c r="AI358" s="109"/>
      <c r="AJ358" s="109"/>
      <c r="AK358" s="109"/>
      <c r="AL358" s="109"/>
      <c r="AM358" s="109"/>
      <c r="AN358" s="109"/>
      <c r="AO358" s="109"/>
      <c r="AP358" s="109"/>
      <c r="AQ358" s="109"/>
      <c r="AR358" s="109"/>
      <c r="AS358" s="109"/>
      <c r="AT358" s="109"/>
      <c r="AU358" s="109"/>
      <c r="AV358" s="109"/>
      <c r="AW358" s="109"/>
      <c r="AX358" s="109"/>
      <c r="AY358" s="109"/>
      <c r="AZ358" s="109"/>
      <c r="BA358" s="109"/>
      <c r="BB358" s="109"/>
      <c r="BC358" s="109"/>
      <c r="BD358" s="109"/>
      <c r="BE358" s="109"/>
      <c r="BF358" s="109"/>
      <c r="BG358" s="109"/>
      <c r="BH358" s="109"/>
      <c r="BI358" s="109"/>
      <c r="BJ358" s="109"/>
      <c r="BK358" s="109"/>
      <c r="BL358" s="109"/>
      <c r="BM358" s="109"/>
      <c r="BN358" s="109"/>
      <c r="BO358" s="109"/>
      <c r="BP358" s="109"/>
      <c r="BQ358" s="109"/>
      <c r="BR358" s="109"/>
      <c r="BS358" s="109"/>
      <c r="BT358" s="109"/>
      <c r="BU358" s="109"/>
    </row>
    <row r="359" ht="15.75" customHeight="1">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10"/>
      <c r="X359" s="109"/>
      <c r="Y359" s="109"/>
      <c r="Z359" s="109"/>
      <c r="AA359" s="109"/>
      <c r="AB359" s="109"/>
      <c r="AC359" s="109"/>
      <c r="AD359" s="109"/>
      <c r="AE359" s="109"/>
      <c r="AF359" s="109"/>
      <c r="AG359" s="109"/>
      <c r="AH359" s="109"/>
      <c r="AI359" s="109"/>
      <c r="AJ359" s="109"/>
      <c r="AK359" s="109"/>
      <c r="AL359" s="109"/>
      <c r="AM359" s="109"/>
      <c r="AN359" s="109"/>
      <c r="AO359" s="109"/>
      <c r="AP359" s="109"/>
      <c r="AQ359" s="109"/>
      <c r="AR359" s="109"/>
      <c r="AS359" s="109"/>
      <c r="AT359" s="109"/>
      <c r="AU359" s="109"/>
      <c r="AV359" s="109"/>
      <c r="AW359" s="109"/>
      <c r="AX359" s="109"/>
      <c r="AY359" s="109"/>
      <c r="AZ359" s="109"/>
      <c r="BA359" s="109"/>
      <c r="BB359" s="109"/>
      <c r="BC359" s="109"/>
      <c r="BD359" s="109"/>
      <c r="BE359" s="109"/>
      <c r="BF359" s="109"/>
      <c r="BG359" s="109"/>
      <c r="BH359" s="109"/>
      <c r="BI359" s="109"/>
      <c r="BJ359" s="109"/>
      <c r="BK359" s="109"/>
      <c r="BL359" s="109"/>
      <c r="BM359" s="109"/>
      <c r="BN359" s="109"/>
      <c r="BO359" s="109"/>
      <c r="BP359" s="109"/>
      <c r="BQ359" s="109"/>
      <c r="BR359" s="109"/>
      <c r="BS359" s="109"/>
      <c r="BT359" s="109"/>
      <c r="BU359" s="109"/>
    </row>
    <row r="360" ht="15.75" customHeight="1">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10"/>
      <c r="X360" s="109"/>
      <c r="Y360" s="109"/>
      <c r="Z360" s="109"/>
      <c r="AA360" s="109"/>
      <c r="AB360" s="109"/>
      <c r="AC360" s="109"/>
      <c r="AD360" s="109"/>
      <c r="AE360" s="109"/>
      <c r="AF360" s="109"/>
      <c r="AG360" s="109"/>
      <c r="AH360" s="109"/>
      <c r="AI360" s="109"/>
      <c r="AJ360" s="109"/>
      <c r="AK360" s="109"/>
      <c r="AL360" s="109"/>
      <c r="AM360" s="109"/>
      <c r="AN360" s="109"/>
      <c r="AO360" s="109"/>
      <c r="AP360" s="109"/>
      <c r="AQ360" s="109"/>
      <c r="AR360" s="109"/>
      <c r="AS360" s="109"/>
      <c r="AT360" s="109"/>
      <c r="AU360" s="109"/>
      <c r="AV360" s="109"/>
      <c r="AW360" s="109"/>
      <c r="AX360" s="109"/>
      <c r="AY360" s="109"/>
      <c r="AZ360" s="109"/>
      <c r="BA360" s="109"/>
      <c r="BB360" s="109"/>
      <c r="BC360" s="109"/>
      <c r="BD360" s="109"/>
      <c r="BE360" s="109"/>
      <c r="BF360" s="109"/>
      <c r="BG360" s="109"/>
      <c r="BH360" s="109"/>
      <c r="BI360" s="109"/>
      <c r="BJ360" s="109"/>
      <c r="BK360" s="109"/>
      <c r="BL360" s="109"/>
      <c r="BM360" s="109"/>
      <c r="BN360" s="109"/>
      <c r="BO360" s="109"/>
      <c r="BP360" s="109"/>
      <c r="BQ360" s="109"/>
      <c r="BR360" s="109"/>
      <c r="BS360" s="109"/>
      <c r="BT360" s="109"/>
      <c r="BU360" s="109"/>
    </row>
    <row r="361" ht="15.75" customHeight="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10"/>
      <c r="X361" s="109"/>
      <c r="Y361" s="109"/>
      <c r="Z361" s="109"/>
      <c r="AA361" s="109"/>
      <c r="AB361" s="109"/>
      <c r="AC361" s="109"/>
      <c r="AD361" s="109"/>
      <c r="AE361" s="109"/>
      <c r="AF361" s="109"/>
      <c r="AG361" s="109"/>
      <c r="AH361" s="109"/>
      <c r="AI361" s="109"/>
      <c r="AJ361" s="109"/>
      <c r="AK361" s="109"/>
      <c r="AL361" s="109"/>
      <c r="AM361" s="109"/>
      <c r="AN361" s="109"/>
      <c r="AO361" s="109"/>
      <c r="AP361" s="109"/>
      <c r="AQ361" s="109"/>
      <c r="AR361" s="109"/>
      <c r="AS361" s="109"/>
      <c r="AT361" s="109"/>
      <c r="AU361" s="109"/>
      <c r="AV361" s="109"/>
      <c r="AW361" s="109"/>
      <c r="AX361" s="109"/>
      <c r="AY361" s="109"/>
      <c r="AZ361" s="109"/>
      <c r="BA361" s="109"/>
      <c r="BB361" s="109"/>
      <c r="BC361" s="109"/>
      <c r="BD361" s="109"/>
      <c r="BE361" s="109"/>
      <c r="BF361" s="109"/>
      <c r="BG361" s="109"/>
      <c r="BH361" s="109"/>
      <c r="BI361" s="109"/>
      <c r="BJ361" s="109"/>
      <c r="BK361" s="109"/>
      <c r="BL361" s="109"/>
      <c r="BM361" s="109"/>
      <c r="BN361" s="109"/>
      <c r="BO361" s="109"/>
      <c r="BP361" s="109"/>
      <c r="BQ361" s="109"/>
      <c r="BR361" s="109"/>
      <c r="BS361" s="109"/>
      <c r="BT361" s="109"/>
      <c r="BU361" s="109"/>
    </row>
    <row r="362" ht="15.75" customHeight="1">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10"/>
      <c r="X362" s="109"/>
      <c r="Y362" s="109"/>
      <c r="Z362" s="109"/>
      <c r="AA362" s="109"/>
      <c r="AB362" s="109"/>
      <c r="AC362" s="109"/>
      <c r="AD362" s="109"/>
      <c r="AE362" s="109"/>
      <c r="AF362" s="109"/>
      <c r="AG362" s="109"/>
      <c r="AH362" s="109"/>
      <c r="AI362" s="109"/>
      <c r="AJ362" s="109"/>
      <c r="AK362" s="109"/>
      <c r="AL362" s="109"/>
      <c r="AM362" s="109"/>
      <c r="AN362" s="109"/>
      <c r="AO362" s="109"/>
      <c r="AP362" s="109"/>
      <c r="AQ362" s="109"/>
      <c r="AR362" s="109"/>
      <c r="AS362" s="109"/>
      <c r="AT362" s="109"/>
      <c r="AU362" s="109"/>
      <c r="AV362" s="109"/>
      <c r="AW362" s="109"/>
      <c r="AX362" s="109"/>
      <c r="AY362" s="109"/>
      <c r="AZ362" s="109"/>
      <c r="BA362" s="109"/>
      <c r="BB362" s="109"/>
      <c r="BC362" s="109"/>
      <c r="BD362" s="109"/>
      <c r="BE362" s="109"/>
      <c r="BF362" s="109"/>
      <c r="BG362" s="109"/>
      <c r="BH362" s="109"/>
      <c r="BI362" s="109"/>
      <c r="BJ362" s="109"/>
      <c r="BK362" s="109"/>
      <c r="BL362" s="109"/>
      <c r="BM362" s="109"/>
      <c r="BN362" s="109"/>
      <c r="BO362" s="109"/>
      <c r="BP362" s="109"/>
      <c r="BQ362" s="109"/>
      <c r="BR362" s="109"/>
      <c r="BS362" s="109"/>
      <c r="BT362" s="109"/>
      <c r="BU362" s="109"/>
    </row>
    <row r="363" ht="15.75" customHeight="1">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10"/>
      <c r="X363" s="109"/>
      <c r="Y363" s="109"/>
      <c r="Z363" s="109"/>
      <c r="AA363" s="109"/>
      <c r="AB363" s="109"/>
      <c r="AC363" s="109"/>
      <c r="AD363" s="109"/>
      <c r="AE363" s="109"/>
      <c r="AF363" s="109"/>
      <c r="AG363" s="109"/>
      <c r="AH363" s="109"/>
      <c r="AI363" s="109"/>
      <c r="AJ363" s="109"/>
      <c r="AK363" s="109"/>
      <c r="AL363" s="109"/>
      <c r="AM363" s="109"/>
      <c r="AN363" s="109"/>
      <c r="AO363" s="109"/>
      <c r="AP363" s="109"/>
      <c r="AQ363" s="109"/>
      <c r="AR363" s="109"/>
      <c r="AS363" s="109"/>
      <c r="AT363" s="109"/>
      <c r="AU363" s="109"/>
      <c r="AV363" s="109"/>
      <c r="AW363" s="109"/>
      <c r="AX363" s="109"/>
      <c r="AY363" s="109"/>
      <c r="AZ363" s="109"/>
      <c r="BA363" s="109"/>
      <c r="BB363" s="109"/>
      <c r="BC363" s="109"/>
      <c r="BD363" s="109"/>
      <c r="BE363" s="109"/>
      <c r="BF363" s="109"/>
      <c r="BG363" s="109"/>
      <c r="BH363" s="109"/>
      <c r="BI363" s="109"/>
      <c r="BJ363" s="109"/>
      <c r="BK363" s="109"/>
      <c r="BL363" s="109"/>
      <c r="BM363" s="109"/>
      <c r="BN363" s="109"/>
      <c r="BO363" s="109"/>
      <c r="BP363" s="109"/>
      <c r="BQ363" s="109"/>
      <c r="BR363" s="109"/>
      <c r="BS363" s="109"/>
      <c r="BT363" s="109"/>
      <c r="BU363" s="109"/>
    </row>
    <row r="364" ht="15.75" customHeight="1">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10"/>
      <c r="X364" s="109"/>
      <c r="Y364" s="109"/>
      <c r="Z364" s="109"/>
      <c r="AA364" s="109"/>
      <c r="AB364" s="109"/>
      <c r="AC364" s="109"/>
      <c r="AD364" s="109"/>
      <c r="AE364" s="109"/>
      <c r="AF364" s="109"/>
      <c r="AG364" s="109"/>
      <c r="AH364" s="109"/>
      <c r="AI364" s="109"/>
      <c r="AJ364" s="109"/>
      <c r="AK364" s="109"/>
      <c r="AL364" s="109"/>
      <c r="AM364" s="109"/>
      <c r="AN364" s="109"/>
      <c r="AO364" s="109"/>
      <c r="AP364" s="109"/>
      <c r="AQ364" s="109"/>
      <c r="AR364" s="109"/>
      <c r="AS364" s="109"/>
      <c r="AT364" s="109"/>
      <c r="AU364" s="109"/>
      <c r="AV364" s="109"/>
      <c r="AW364" s="109"/>
      <c r="AX364" s="109"/>
      <c r="AY364" s="109"/>
      <c r="AZ364" s="109"/>
      <c r="BA364" s="109"/>
      <c r="BB364" s="109"/>
      <c r="BC364" s="109"/>
      <c r="BD364" s="109"/>
      <c r="BE364" s="109"/>
      <c r="BF364" s="109"/>
      <c r="BG364" s="109"/>
      <c r="BH364" s="109"/>
      <c r="BI364" s="109"/>
      <c r="BJ364" s="109"/>
      <c r="BK364" s="109"/>
      <c r="BL364" s="109"/>
      <c r="BM364" s="109"/>
      <c r="BN364" s="109"/>
      <c r="BO364" s="109"/>
      <c r="BP364" s="109"/>
      <c r="BQ364" s="109"/>
      <c r="BR364" s="109"/>
      <c r="BS364" s="109"/>
      <c r="BT364" s="109"/>
      <c r="BU364" s="109"/>
    </row>
    <row r="365" ht="15.75" customHeight="1">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10"/>
      <c r="X365" s="109"/>
      <c r="Y365" s="109"/>
      <c r="Z365" s="109"/>
      <c r="AA365" s="109"/>
      <c r="AB365" s="109"/>
      <c r="AC365" s="109"/>
      <c r="AD365" s="109"/>
      <c r="AE365" s="109"/>
      <c r="AF365" s="109"/>
      <c r="AG365" s="109"/>
      <c r="AH365" s="109"/>
      <c r="AI365" s="109"/>
      <c r="AJ365" s="109"/>
      <c r="AK365" s="109"/>
      <c r="AL365" s="109"/>
      <c r="AM365" s="109"/>
      <c r="AN365" s="109"/>
      <c r="AO365" s="109"/>
      <c r="AP365" s="109"/>
      <c r="AQ365" s="109"/>
      <c r="AR365" s="109"/>
      <c r="AS365" s="109"/>
      <c r="AT365" s="109"/>
      <c r="AU365" s="109"/>
      <c r="AV365" s="109"/>
      <c r="AW365" s="109"/>
      <c r="AX365" s="109"/>
      <c r="AY365" s="109"/>
      <c r="AZ365" s="109"/>
      <c r="BA365" s="109"/>
      <c r="BB365" s="109"/>
      <c r="BC365" s="109"/>
      <c r="BD365" s="109"/>
      <c r="BE365" s="109"/>
      <c r="BF365" s="109"/>
      <c r="BG365" s="109"/>
      <c r="BH365" s="109"/>
      <c r="BI365" s="109"/>
      <c r="BJ365" s="109"/>
      <c r="BK365" s="109"/>
      <c r="BL365" s="109"/>
      <c r="BM365" s="109"/>
      <c r="BN365" s="109"/>
      <c r="BO365" s="109"/>
      <c r="BP365" s="109"/>
      <c r="BQ365" s="109"/>
      <c r="BR365" s="109"/>
      <c r="BS365" s="109"/>
      <c r="BT365" s="109"/>
      <c r="BU365" s="109"/>
    </row>
    <row r="366" ht="15.75" customHeight="1">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10"/>
      <c r="X366" s="109"/>
      <c r="Y366" s="109"/>
      <c r="Z366" s="109"/>
      <c r="AA366" s="109"/>
      <c r="AB366" s="109"/>
      <c r="AC366" s="109"/>
      <c r="AD366" s="109"/>
      <c r="AE366" s="109"/>
      <c r="AF366" s="109"/>
      <c r="AG366" s="109"/>
      <c r="AH366" s="109"/>
      <c r="AI366" s="109"/>
      <c r="AJ366" s="109"/>
      <c r="AK366" s="109"/>
      <c r="AL366" s="109"/>
      <c r="AM366" s="109"/>
      <c r="AN366" s="109"/>
      <c r="AO366" s="109"/>
      <c r="AP366" s="109"/>
      <c r="AQ366" s="109"/>
      <c r="AR366" s="109"/>
      <c r="AS366" s="109"/>
      <c r="AT366" s="109"/>
      <c r="AU366" s="109"/>
      <c r="AV366" s="109"/>
      <c r="AW366" s="109"/>
      <c r="AX366" s="109"/>
      <c r="AY366" s="109"/>
      <c r="AZ366" s="109"/>
      <c r="BA366" s="109"/>
      <c r="BB366" s="109"/>
      <c r="BC366" s="109"/>
      <c r="BD366" s="109"/>
      <c r="BE366" s="109"/>
      <c r="BF366" s="109"/>
      <c r="BG366" s="109"/>
      <c r="BH366" s="109"/>
      <c r="BI366" s="109"/>
      <c r="BJ366" s="109"/>
      <c r="BK366" s="109"/>
      <c r="BL366" s="109"/>
      <c r="BM366" s="109"/>
      <c r="BN366" s="109"/>
      <c r="BO366" s="109"/>
      <c r="BP366" s="109"/>
      <c r="BQ366" s="109"/>
      <c r="BR366" s="109"/>
      <c r="BS366" s="109"/>
      <c r="BT366" s="109"/>
      <c r="BU366" s="109"/>
    </row>
    <row r="367" ht="15.75" customHeight="1">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10"/>
      <c r="X367" s="109"/>
      <c r="Y367" s="109"/>
      <c r="Z367" s="109"/>
      <c r="AA367" s="109"/>
      <c r="AB367" s="109"/>
      <c r="AC367" s="109"/>
      <c r="AD367" s="109"/>
      <c r="AE367" s="109"/>
      <c r="AF367" s="109"/>
      <c r="AG367" s="109"/>
      <c r="AH367" s="109"/>
      <c r="AI367" s="109"/>
      <c r="AJ367" s="109"/>
      <c r="AK367" s="109"/>
      <c r="AL367" s="109"/>
      <c r="AM367" s="109"/>
      <c r="AN367" s="109"/>
      <c r="AO367" s="109"/>
      <c r="AP367" s="109"/>
      <c r="AQ367" s="109"/>
      <c r="AR367" s="109"/>
      <c r="AS367" s="109"/>
      <c r="AT367" s="109"/>
      <c r="AU367" s="109"/>
      <c r="AV367" s="109"/>
      <c r="AW367" s="109"/>
      <c r="AX367" s="109"/>
      <c r="AY367" s="109"/>
      <c r="AZ367" s="109"/>
      <c r="BA367" s="109"/>
      <c r="BB367" s="109"/>
      <c r="BC367" s="109"/>
      <c r="BD367" s="109"/>
      <c r="BE367" s="109"/>
      <c r="BF367" s="109"/>
      <c r="BG367" s="109"/>
      <c r="BH367" s="109"/>
      <c r="BI367" s="109"/>
      <c r="BJ367" s="109"/>
      <c r="BK367" s="109"/>
      <c r="BL367" s="109"/>
      <c r="BM367" s="109"/>
      <c r="BN367" s="109"/>
      <c r="BO367" s="109"/>
      <c r="BP367" s="109"/>
      <c r="BQ367" s="109"/>
      <c r="BR367" s="109"/>
      <c r="BS367" s="109"/>
      <c r="BT367" s="109"/>
      <c r="BU367" s="109"/>
    </row>
    <row r="368" ht="15.75" customHeight="1">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10"/>
      <c r="X368" s="109"/>
      <c r="Y368" s="109"/>
      <c r="Z368" s="109"/>
      <c r="AA368" s="109"/>
      <c r="AB368" s="109"/>
      <c r="AC368" s="109"/>
      <c r="AD368" s="109"/>
      <c r="AE368" s="109"/>
      <c r="AF368" s="109"/>
      <c r="AG368" s="109"/>
      <c r="AH368" s="109"/>
      <c r="AI368" s="109"/>
      <c r="AJ368" s="109"/>
      <c r="AK368" s="109"/>
      <c r="AL368" s="109"/>
      <c r="AM368" s="109"/>
      <c r="AN368" s="109"/>
      <c r="AO368" s="109"/>
      <c r="AP368" s="109"/>
      <c r="AQ368" s="109"/>
      <c r="AR368" s="109"/>
      <c r="AS368" s="109"/>
      <c r="AT368" s="109"/>
      <c r="AU368" s="109"/>
      <c r="AV368" s="109"/>
      <c r="AW368" s="109"/>
      <c r="AX368" s="109"/>
      <c r="AY368" s="109"/>
      <c r="AZ368" s="109"/>
      <c r="BA368" s="109"/>
      <c r="BB368" s="109"/>
      <c r="BC368" s="109"/>
      <c r="BD368" s="109"/>
      <c r="BE368" s="109"/>
      <c r="BF368" s="109"/>
      <c r="BG368" s="109"/>
      <c r="BH368" s="109"/>
      <c r="BI368" s="109"/>
      <c r="BJ368" s="109"/>
      <c r="BK368" s="109"/>
      <c r="BL368" s="109"/>
      <c r="BM368" s="109"/>
      <c r="BN368" s="109"/>
      <c r="BO368" s="109"/>
      <c r="BP368" s="109"/>
      <c r="BQ368" s="109"/>
      <c r="BR368" s="109"/>
      <c r="BS368" s="109"/>
      <c r="BT368" s="109"/>
      <c r="BU368" s="109"/>
    </row>
    <row r="369" ht="15.75" customHeight="1">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10"/>
      <c r="X369" s="109"/>
      <c r="Y369" s="109"/>
      <c r="Z369" s="109"/>
      <c r="AA369" s="109"/>
      <c r="AB369" s="109"/>
      <c r="AC369" s="109"/>
      <c r="AD369" s="109"/>
      <c r="AE369" s="109"/>
      <c r="AF369" s="109"/>
      <c r="AG369" s="109"/>
      <c r="AH369" s="109"/>
      <c r="AI369" s="109"/>
      <c r="AJ369" s="109"/>
      <c r="AK369" s="109"/>
      <c r="AL369" s="109"/>
      <c r="AM369" s="109"/>
      <c r="AN369" s="109"/>
      <c r="AO369" s="109"/>
      <c r="AP369" s="109"/>
      <c r="AQ369" s="109"/>
      <c r="AR369" s="109"/>
      <c r="AS369" s="109"/>
      <c r="AT369" s="109"/>
      <c r="AU369" s="109"/>
      <c r="AV369" s="109"/>
      <c r="AW369" s="109"/>
      <c r="AX369" s="109"/>
      <c r="AY369" s="109"/>
      <c r="AZ369" s="109"/>
      <c r="BA369" s="109"/>
      <c r="BB369" s="109"/>
      <c r="BC369" s="109"/>
      <c r="BD369" s="109"/>
      <c r="BE369" s="109"/>
      <c r="BF369" s="109"/>
      <c r="BG369" s="109"/>
      <c r="BH369" s="109"/>
      <c r="BI369" s="109"/>
      <c r="BJ369" s="109"/>
      <c r="BK369" s="109"/>
      <c r="BL369" s="109"/>
      <c r="BM369" s="109"/>
      <c r="BN369" s="109"/>
      <c r="BO369" s="109"/>
      <c r="BP369" s="109"/>
      <c r="BQ369" s="109"/>
      <c r="BR369" s="109"/>
      <c r="BS369" s="109"/>
      <c r="BT369" s="109"/>
      <c r="BU369" s="109"/>
    </row>
    <row r="370" ht="15.75" customHeight="1">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10"/>
      <c r="X370" s="109"/>
      <c r="Y370" s="109"/>
      <c r="Z370" s="109"/>
      <c r="AA370" s="109"/>
      <c r="AB370" s="109"/>
      <c r="AC370" s="109"/>
      <c r="AD370" s="109"/>
      <c r="AE370" s="109"/>
      <c r="AF370" s="109"/>
      <c r="AG370" s="109"/>
      <c r="AH370" s="109"/>
      <c r="AI370" s="109"/>
      <c r="AJ370" s="109"/>
      <c r="AK370" s="109"/>
      <c r="AL370" s="109"/>
      <c r="AM370" s="109"/>
      <c r="AN370" s="109"/>
      <c r="AO370" s="109"/>
      <c r="AP370" s="109"/>
      <c r="AQ370" s="109"/>
      <c r="AR370" s="109"/>
      <c r="AS370" s="109"/>
      <c r="AT370" s="109"/>
      <c r="AU370" s="109"/>
      <c r="AV370" s="109"/>
      <c r="AW370" s="109"/>
      <c r="AX370" s="109"/>
      <c r="AY370" s="109"/>
      <c r="AZ370" s="109"/>
      <c r="BA370" s="109"/>
      <c r="BB370" s="109"/>
      <c r="BC370" s="109"/>
      <c r="BD370" s="109"/>
      <c r="BE370" s="109"/>
      <c r="BF370" s="109"/>
      <c r="BG370" s="109"/>
      <c r="BH370" s="109"/>
      <c r="BI370" s="109"/>
      <c r="BJ370" s="109"/>
      <c r="BK370" s="109"/>
      <c r="BL370" s="109"/>
      <c r="BM370" s="109"/>
      <c r="BN370" s="109"/>
      <c r="BO370" s="109"/>
      <c r="BP370" s="109"/>
      <c r="BQ370" s="109"/>
      <c r="BR370" s="109"/>
      <c r="BS370" s="109"/>
      <c r="BT370" s="109"/>
      <c r="BU370" s="109"/>
    </row>
    <row r="371" ht="15.75" customHeight="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10"/>
      <c r="X371" s="109"/>
      <c r="Y371" s="109"/>
      <c r="Z371" s="109"/>
      <c r="AA371" s="109"/>
      <c r="AB371" s="109"/>
      <c r="AC371" s="109"/>
      <c r="AD371" s="109"/>
      <c r="AE371" s="109"/>
      <c r="AF371" s="109"/>
      <c r="AG371" s="109"/>
      <c r="AH371" s="109"/>
      <c r="AI371" s="109"/>
      <c r="AJ371" s="109"/>
      <c r="AK371" s="109"/>
      <c r="AL371" s="109"/>
      <c r="AM371" s="109"/>
      <c r="AN371" s="109"/>
      <c r="AO371" s="109"/>
      <c r="AP371" s="109"/>
      <c r="AQ371" s="109"/>
      <c r="AR371" s="109"/>
      <c r="AS371" s="109"/>
      <c r="AT371" s="109"/>
      <c r="AU371" s="109"/>
      <c r="AV371" s="109"/>
      <c r="AW371" s="109"/>
      <c r="AX371" s="109"/>
      <c r="AY371" s="109"/>
      <c r="AZ371" s="109"/>
      <c r="BA371" s="109"/>
      <c r="BB371" s="109"/>
      <c r="BC371" s="109"/>
      <c r="BD371" s="109"/>
      <c r="BE371" s="109"/>
      <c r="BF371" s="109"/>
      <c r="BG371" s="109"/>
      <c r="BH371" s="109"/>
      <c r="BI371" s="109"/>
      <c r="BJ371" s="109"/>
      <c r="BK371" s="109"/>
      <c r="BL371" s="109"/>
      <c r="BM371" s="109"/>
      <c r="BN371" s="109"/>
      <c r="BO371" s="109"/>
      <c r="BP371" s="109"/>
      <c r="BQ371" s="109"/>
      <c r="BR371" s="109"/>
      <c r="BS371" s="109"/>
      <c r="BT371" s="109"/>
      <c r="BU371" s="109"/>
    </row>
    <row r="372" ht="15.75" customHeight="1">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10"/>
      <c r="X372" s="109"/>
      <c r="Y372" s="109"/>
      <c r="Z372" s="109"/>
      <c r="AA372" s="109"/>
      <c r="AB372" s="109"/>
      <c r="AC372" s="109"/>
      <c r="AD372" s="109"/>
      <c r="AE372" s="109"/>
      <c r="AF372" s="109"/>
      <c r="AG372" s="109"/>
      <c r="AH372" s="109"/>
      <c r="AI372" s="109"/>
      <c r="AJ372" s="109"/>
      <c r="AK372" s="109"/>
      <c r="AL372" s="109"/>
      <c r="AM372" s="109"/>
      <c r="AN372" s="109"/>
      <c r="AO372" s="109"/>
      <c r="AP372" s="109"/>
      <c r="AQ372" s="109"/>
      <c r="AR372" s="109"/>
      <c r="AS372" s="109"/>
      <c r="AT372" s="109"/>
      <c r="AU372" s="109"/>
      <c r="AV372" s="109"/>
      <c r="AW372" s="109"/>
      <c r="AX372" s="109"/>
      <c r="AY372" s="109"/>
      <c r="AZ372" s="109"/>
      <c r="BA372" s="109"/>
      <c r="BB372" s="109"/>
      <c r="BC372" s="109"/>
      <c r="BD372" s="109"/>
      <c r="BE372" s="109"/>
      <c r="BF372" s="109"/>
      <c r="BG372" s="109"/>
      <c r="BH372" s="109"/>
      <c r="BI372" s="109"/>
      <c r="BJ372" s="109"/>
      <c r="BK372" s="109"/>
      <c r="BL372" s="109"/>
      <c r="BM372" s="109"/>
      <c r="BN372" s="109"/>
      <c r="BO372" s="109"/>
      <c r="BP372" s="109"/>
      <c r="BQ372" s="109"/>
      <c r="BR372" s="109"/>
      <c r="BS372" s="109"/>
      <c r="BT372" s="109"/>
      <c r="BU372" s="109"/>
    </row>
    <row r="373" ht="15.75" customHeight="1">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10"/>
      <c r="X373" s="109"/>
      <c r="Y373" s="109"/>
      <c r="Z373" s="109"/>
      <c r="AA373" s="109"/>
      <c r="AB373" s="109"/>
      <c r="AC373" s="109"/>
      <c r="AD373" s="109"/>
      <c r="AE373" s="109"/>
      <c r="AF373" s="109"/>
      <c r="AG373" s="109"/>
      <c r="AH373" s="109"/>
      <c r="AI373" s="109"/>
      <c r="AJ373" s="109"/>
      <c r="AK373" s="109"/>
      <c r="AL373" s="109"/>
      <c r="AM373" s="109"/>
      <c r="AN373" s="109"/>
      <c r="AO373" s="109"/>
      <c r="AP373" s="109"/>
      <c r="AQ373" s="109"/>
      <c r="AR373" s="109"/>
      <c r="AS373" s="109"/>
      <c r="AT373" s="109"/>
      <c r="AU373" s="109"/>
      <c r="AV373" s="109"/>
      <c r="AW373" s="109"/>
      <c r="AX373" s="109"/>
      <c r="AY373" s="109"/>
      <c r="AZ373" s="109"/>
      <c r="BA373" s="109"/>
      <c r="BB373" s="109"/>
      <c r="BC373" s="109"/>
      <c r="BD373" s="109"/>
      <c r="BE373" s="109"/>
      <c r="BF373" s="109"/>
      <c r="BG373" s="109"/>
      <c r="BH373" s="109"/>
      <c r="BI373" s="109"/>
      <c r="BJ373" s="109"/>
      <c r="BK373" s="109"/>
      <c r="BL373" s="109"/>
      <c r="BM373" s="109"/>
      <c r="BN373" s="109"/>
      <c r="BO373" s="109"/>
      <c r="BP373" s="109"/>
      <c r="BQ373" s="109"/>
      <c r="BR373" s="109"/>
      <c r="BS373" s="109"/>
      <c r="BT373" s="109"/>
      <c r="BU373" s="109"/>
    </row>
    <row r="374" ht="15.75" customHeight="1">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10"/>
      <c r="X374" s="109"/>
      <c r="Y374" s="109"/>
      <c r="Z374" s="109"/>
      <c r="AA374" s="109"/>
      <c r="AB374" s="109"/>
      <c r="AC374" s="109"/>
      <c r="AD374" s="109"/>
      <c r="AE374" s="109"/>
      <c r="AF374" s="109"/>
      <c r="AG374" s="109"/>
      <c r="AH374" s="109"/>
      <c r="AI374" s="109"/>
      <c r="AJ374" s="109"/>
      <c r="AK374" s="109"/>
      <c r="AL374" s="109"/>
      <c r="AM374" s="109"/>
      <c r="AN374" s="109"/>
      <c r="AO374" s="109"/>
      <c r="AP374" s="109"/>
      <c r="AQ374" s="109"/>
      <c r="AR374" s="109"/>
      <c r="AS374" s="109"/>
      <c r="AT374" s="109"/>
      <c r="AU374" s="109"/>
      <c r="AV374" s="109"/>
      <c r="AW374" s="109"/>
      <c r="AX374" s="109"/>
      <c r="AY374" s="109"/>
      <c r="AZ374" s="109"/>
      <c r="BA374" s="109"/>
      <c r="BB374" s="109"/>
      <c r="BC374" s="109"/>
      <c r="BD374" s="109"/>
      <c r="BE374" s="109"/>
      <c r="BF374" s="109"/>
      <c r="BG374" s="109"/>
      <c r="BH374" s="109"/>
      <c r="BI374" s="109"/>
      <c r="BJ374" s="109"/>
      <c r="BK374" s="109"/>
      <c r="BL374" s="109"/>
      <c r="BM374" s="109"/>
      <c r="BN374" s="109"/>
      <c r="BO374" s="109"/>
      <c r="BP374" s="109"/>
      <c r="BQ374" s="109"/>
      <c r="BR374" s="109"/>
      <c r="BS374" s="109"/>
      <c r="BT374" s="109"/>
      <c r="BU374" s="109"/>
    </row>
    <row r="375" ht="15.75" customHeight="1">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10"/>
      <c r="X375" s="109"/>
      <c r="Y375" s="109"/>
      <c r="Z375" s="109"/>
      <c r="AA375" s="109"/>
      <c r="AB375" s="109"/>
      <c r="AC375" s="109"/>
      <c r="AD375" s="109"/>
      <c r="AE375" s="109"/>
      <c r="AF375" s="109"/>
      <c r="AG375" s="109"/>
      <c r="AH375" s="109"/>
      <c r="AI375" s="109"/>
      <c r="AJ375" s="109"/>
      <c r="AK375" s="109"/>
      <c r="AL375" s="109"/>
      <c r="AM375" s="109"/>
      <c r="AN375" s="109"/>
      <c r="AO375" s="109"/>
      <c r="AP375" s="109"/>
      <c r="AQ375" s="109"/>
      <c r="AR375" s="109"/>
      <c r="AS375" s="109"/>
      <c r="AT375" s="109"/>
      <c r="AU375" s="109"/>
      <c r="AV375" s="109"/>
      <c r="AW375" s="109"/>
      <c r="AX375" s="109"/>
      <c r="AY375" s="109"/>
      <c r="AZ375" s="109"/>
      <c r="BA375" s="109"/>
      <c r="BB375" s="109"/>
      <c r="BC375" s="109"/>
      <c r="BD375" s="109"/>
      <c r="BE375" s="109"/>
      <c r="BF375" s="109"/>
      <c r="BG375" s="109"/>
      <c r="BH375" s="109"/>
      <c r="BI375" s="109"/>
      <c r="BJ375" s="109"/>
      <c r="BK375" s="109"/>
      <c r="BL375" s="109"/>
      <c r="BM375" s="109"/>
      <c r="BN375" s="109"/>
      <c r="BO375" s="109"/>
      <c r="BP375" s="109"/>
      <c r="BQ375" s="109"/>
      <c r="BR375" s="109"/>
      <c r="BS375" s="109"/>
      <c r="BT375" s="109"/>
      <c r="BU375" s="109"/>
    </row>
    <row r="376" ht="15.75" customHeight="1">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10"/>
      <c r="X376" s="109"/>
      <c r="Y376" s="109"/>
      <c r="Z376" s="109"/>
      <c r="AA376" s="109"/>
      <c r="AB376" s="109"/>
      <c r="AC376" s="109"/>
      <c r="AD376" s="109"/>
      <c r="AE376" s="109"/>
      <c r="AF376" s="109"/>
      <c r="AG376" s="109"/>
      <c r="AH376" s="109"/>
      <c r="AI376" s="109"/>
      <c r="AJ376" s="109"/>
      <c r="AK376" s="109"/>
      <c r="AL376" s="109"/>
      <c r="AM376" s="109"/>
      <c r="AN376" s="109"/>
      <c r="AO376" s="109"/>
      <c r="AP376" s="109"/>
      <c r="AQ376" s="109"/>
      <c r="AR376" s="109"/>
      <c r="AS376" s="109"/>
      <c r="AT376" s="109"/>
      <c r="AU376" s="109"/>
      <c r="AV376" s="109"/>
      <c r="AW376" s="109"/>
      <c r="AX376" s="109"/>
      <c r="AY376" s="109"/>
      <c r="AZ376" s="109"/>
      <c r="BA376" s="109"/>
      <c r="BB376" s="109"/>
      <c r="BC376" s="109"/>
      <c r="BD376" s="109"/>
      <c r="BE376" s="109"/>
      <c r="BF376" s="109"/>
      <c r="BG376" s="109"/>
      <c r="BH376" s="109"/>
      <c r="BI376" s="109"/>
      <c r="BJ376" s="109"/>
      <c r="BK376" s="109"/>
      <c r="BL376" s="109"/>
      <c r="BM376" s="109"/>
      <c r="BN376" s="109"/>
      <c r="BO376" s="109"/>
      <c r="BP376" s="109"/>
      <c r="BQ376" s="109"/>
      <c r="BR376" s="109"/>
      <c r="BS376" s="109"/>
      <c r="BT376" s="109"/>
      <c r="BU376" s="109"/>
    </row>
    <row r="377" ht="15.75" customHeight="1">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10"/>
      <c r="X377" s="109"/>
      <c r="Y377" s="109"/>
      <c r="Z377" s="109"/>
      <c r="AA377" s="109"/>
      <c r="AB377" s="109"/>
      <c r="AC377" s="109"/>
      <c r="AD377" s="109"/>
      <c r="AE377" s="109"/>
      <c r="AF377" s="109"/>
      <c r="AG377" s="109"/>
      <c r="AH377" s="109"/>
      <c r="AI377" s="109"/>
      <c r="AJ377" s="109"/>
      <c r="AK377" s="109"/>
      <c r="AL377" s="109"/>
      <c r="AM377" s="109"/>
      <c r="AN377" s="109"/>
      <c r="AO377" s="109"/>
      <c r="AP377" s="109"/>
      <c r="AQ377" s="109"/>
      <c r="AR377" s="109"/>
      <c r="AS377" s="109"/>
      <c r="AT377" s="109"/>
      <c r="AU377" s="109"/>
      <c r="AV377" s="109"/>
      <c r="AW377" s="109"/>
      <c r="AX377" s="109"/>
      <c r="AY377" s="109"/>
      <c r="AZ377" s="109"/>
      <c r="BA377" s="109"/>
      <c r="BB377" s="109"/>
      <c r="BC377" s="109"/>
      <c r="BD377" s="109"/>
      <c r="BE377" s="109"/>
      <c r="BF377" s="109"/>
      <c r="BG377" s="109"/>
      <c r="BH377" s="109"/>
      <c r="BI377" s="109"/>
      <c r="BJ377" s="109"/>
      <c r="BK377" s="109"/>
      <c r="BL377" s="109"/>
      <c r="BM377" s="109"/>
      <c r="BN377" s="109"/>
      <c r="BO377" s="109"/>
      <c r="BP377" s="109"/>
      <c r="BQ377" s="109"/>
      <c r="BR377" s="109"/>
      <c r="BS377" s="109"/>
      <c r="BT377" s="109"/>
      <c r="BU377" s="109"/>
    </row>
    <row r="378" ht="15.75" customHeight="1">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10"/>
      <c r="X378" s="109"/>
      <c r="Y378" s="109"/>
      <c r="Z378" s="109"/>
      <c r="AA378" s="109"/>
      <c r="AB378" s="109"/>
      <c r="AC378" s="109"/>
      <c r="AD378" s="109"/>
      <c r="AE378" s="109"/>
      <c r="AF378" s="109"/>
      <c r="AG378" s="109"/>
      <c r="AH378" s="109"/>
      <c r="AI378" s="109"/>
      <c r="AJ378" s="109"/>
      <c r="AK378" s="109"/>
      <c r="AL378" s="109"/>
      <c r="AM378" s="109"/>
      <c r="AN378" s="109"/>
      <c r="AO378" s="109"/>
      <c r="AP378" s="109"/>
      <c r="AQ378" s="109"/>
      <c r="AR378" s="109"/>
      <c r="AS378" s="109"/>
      <c r="AT378" s="109"/>
      <c r="AU378" s="109"/>
      <c r="AV378" s="109"/>
      <c r="AW378" s="109"/>
      <c r="AX378" s="109"/>
      <c r="AY378" s="109"/>
      <c r="AZ378" s="109"/>
      <c r="BA378" s="109"/>
      <c r="BB378" s="109"/>
      <c r="BC378" s="109"/>
      <c r="BD378" s="109"/>
      <c r="BE378" s="109"/>
      <c r="BF378" s="109"/>
      <c r="BG378" s="109"/>
      <c r="BH378" s="109"/>
      <c r="BI378" s="109"/>
      <c r="BJ378" s="109"/>
      <c r="BK378" s="109"/>
      <c r="BL378" s="109"/>
      <c r="BM378" s="109"/>
      <c r="BN378" s="109"/>
      <c r="BO378" s="109"/>
      <c r="BP378" s="109"/>
      <c r="BQ378" s="109"/>
      <c r="BR378" s="109"/>
      <c r="BS378" s="109"/>
      <c r="BT378" s="109"/>
      <c r="BU378" s="109"/>
    </row>
    <row r="379" ht="15.75" customHeight="1">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10"/>
      <c r="X379" s="109"/>
      <c r="Y379" s="109"/>
      <c r="Z379" s="109"/>
      <c r="AA379" s="109"/>
      <c r="AB379" s="109"/>
      <c r="AC379" s="109"/>
      <c r="AD379" s="109"/>
      <c r="AE379" s="109"/>
      <c r="AF379" s="109"/>
      <c r="AG379" s="109"/>
      <c r="AH379" s="109"/>
      <c r="AI379" s="109"/>
      <c r="AJ379" s="109"/>
      <c r="AK379" s="109"/>
      <c r="AL379" s="109"/>
      <c r="AM379" s="109"/>
      <c r="AN379" s="109"/>
      <c r="AO379" s="109"/>
      <c r="AP379" s="109"/>
      <c r="AQ379" s="109"/>
      <c r="AR379" s="109"/>
      <c r="AS379" s="109"/>
      <c r="AT379" s="109"/>
      <c r="AU379" s="109"/>
      <c r="AV379" s="109"/>
      <c r="AW379" s="109"/>
      <c r="AX379" s="109"/>
      <c r="AY379" s="109"/>
      <c r="AZ379" s="109"/>
      <c r="BA379" s="109"/>
      <c r="BB379" s="109"/>
      <c r="BC379" s="109"/>
      <c r="BD379" s="109"/>
      <c r="BE379" s="109"/>
      <c r="BF379" s="109"/>
      <c r="BG379" s="109"/>
      <c r="BH379" s="109"/>
      <c r="BI379" s="109"/>
      <c r="BJ379" s="109"/>
      <c r="BK379" s="109"/>
      <c r="BL379" s="109"/>
      <c r="BM379" s="109"/>
      <c r="BN379" s="109"/>
      <c r="BO379" s="109"/>
      <c r="BP379" s="109"/>
      <c r="BQ379" s="109"/>
      <c r="BR379" s="109"/>
      <c r="BS379" s="109"/>
      <c r="BT379" s="109"/>
      <c r="BU379" s="109"/>
    </row>
    <row r="380" ht="15.75" customHeight="1">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10"/>
      <c r="X380" s="109"/>
      <c r="Y380" s="109"/>
      <c r="Z380" s="109"/>
      <c r="AA380" s="109"/>
      <c r="AB380" s="109"/>
      <c r="AC380" s="109"/>
      <c r="AD380" s="109"/>
      <c r="AE380" s="109"/>
      <c r="AF380" s="109"/>
      <c r="AG380" s="109"/>
      <c r="AH380" s="109"/>
      <c r="AI380" s="109"/>
      <c r="AJ380" s="109"/>
      <c r="AK380" s="109"/>
      <c r="AL380" s="109"/>
      <c r="AM380" s="109"/>
      <c r="AN380" s="109"/>
      <c r="AO380" s="109"/>
      <c r="AP380" s="109"/>
      <c r="AQ380" s="109"/>
      <c r="AR380" s="109"/>
      <c r="AS380" s="109"/>
      <c r="AT380" s="109"/>
      <c r="AU380" s="109"/>
      <c r="AV380" s="109"/>
      <c r="AW380" s="109"/>
      <c r="AX380" s="109"/>
      <c r="AY380" s="109"/>
      <c r="AZ380" s="109"/>
      <c r="BA380" s="109"/>
      <c r="BB380" s="109"/>
      <c r="BC380" s="109"/>
      <c r="BD380" s="109"/>
      <c r="BE380" s="109"/>
      <c r="BF380" s="109"/>
      <c r="BG380" s="109"/>
      <c r="BH380" s="109"/>
      <c r="BI380" s="109"/>
      <c r="BJ380" s="109"/>
      <c r="BK380" s="109"/>
      <c r="BL380" s="109"/>
      <c r="BM380" s="109"/>
      <c r="BN380" s="109"/>
      <c r="BO380" s="109"/>
      <c r="BP380" s="109"/>
      <c r="BQ380" s="109"/>
      <c r="BR380" s="109"/>
      <c r="BS380" s="109"/>
      <c r="BT380" s="109"/>
      <c r="BU380" s="109"/>
    </row>
    <row r="381" ht="15.75" customHeight="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10"/>
      <c r="X381" s="109"/>
      <c r="Y381" s="109"/>
      <c r="Z381" s="109"/>
      <c r="AA381" s="109"/>
      <c r="AB381" s="109"/>
      <c r="AC381" s="109"/>
      <c r="AD381" s="109"/>
      <c r="AE381" s="109"/>
      <c r="AF381" s="109"/>
      <c r="AG381" s="109"/>
      <c r="AH381" s="109"/>
      <c r="AI381" s="109"/>
      <c r="AJ381" s="109"/>
      <c r="AK381" s="109"/>
      <c r="AL381" s="109"/>
      <c r="AM381" s="109"/>
      <c r="AN381" s="109"/>
      <c r="AO381" s="109"/>
      <c r="AP381" s="109"/>
      <c r="AQ381" s="109"/>
      <c r="AR381" s="109"/>
      <c r="AS381" s="109"/>
      <c r="AT381" s="109"/>
      <c r="AU381" s="109"/>
      <c r="AV381" s="109"/>
      <c r="AW381" s="109"/>
      <c r="AX381" s="109"/>
      <c r="AY381" s="109"/>
      <c r="AZ381" s="109"/>
      <c r="BA381" s="109"/>
      <c r="BB381" s="109"/>
      <c r="BC381" s="109"/>
      <c r="BD381" s="109"/>
      <c r="BE381" s="109"/>
      <c r="BF381" s="109"/>
      <c r="BG381" s="109"/>
      <c r="BH381" s="109"/>
      <c r="BI381" s="109"/>
      <c r="BJ381" s="109"/>
      <c r="BK381" s="109"/>
      <c r="BL381" s="109"/>
      <c r="BM381" s="109"/>
      <c r="BN381" s="109"/>
      <c r="BO381" s="109"/>
      <c r="BP381" s="109"/>
      <c r="BQ381" s="109"/>
      <c r="BR381" s="109"/>
      <c r="BS381" s="109"/>
      <c r="BT381" s="109"/>
      <c r="BU381" s="109"/>
    </row>
    <row r="382" ht="15.75" customHeight="1">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10"/>
      <c r="X382" s="109"/>
      <c r="Y382" s="109"/>
      <c r="Z382" s="109"/>
      <c r="AA382" s="109"/>
      <c r="AB382" s="109"/>
      <c r="AC382" s="109"/>
      <c r="AD382" s="109"/>
      <c r="AE382" s="109"/>
      <c r="AF382" s="109"/>
      <c r="AG382" s="109"/>
      <c r="AH382" s="109"/>
      <c r="AI382" s="109"/>
      <c r="AJ382" s="109"/>
      <c r="AK382" s="109"/>
      <c r="AL382" s="109"/>
      <c r="AM382" s="109"/>
      <c r="AN382" s="109"/>
      <c r="AO382" s="109"/>
      <c r="AP382" s="109"/>
      <c r="AQ382" s="109"/>
      <c r="AR382" s="109"/>
      <c r="AS382" s="109"/>
      <c r="AT382" s="109"/>
      <c r="AU382" s="109"/>
      <c r="AV382" s="109"/>
      <c r="AW382" s="109"/>
      <c r="AX382" s="109"/>
      <c r="AY382" s="109"/>
      <c r="AZ382" s="109"/>
      <c r="BA382" s="109"/>
      <c r="BB382" s="109"/>
      <c r="BC382" s="109"/>
      <c r="BD382" s="109"/>
      <c r="BE382" s="109"/>
      <c r="BF382" s="109"/>
      <c r="BG382" s="109"/>
      <c r="BH382" s="109"/>
      <c r="BI382" s="109"/>
      <c r="BJ382" s="109"/>
      <c r="BK382" s="109"/>
      <c r="BL382" s="109"/>
      <c r="BM382" s="109"/>
      <c r="BN382" s="109"/>
      <c r="BO382" s="109"/>
      <c r="BP382" s="109"/>
      <c r="BQ382" s="109"/>
      <c r="BR382" s="109"/>
      <c r="BS382" s="109"/>
      <c r="BT382" s="109"/>
      <c r="BU382" s="109"/>
    </row>
    <row r="383" ht="15.75" customHeight="1">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10"/>
      <c r="X383" s="109"/>
      <c r="Y383" s="109"/>
      <c r="Z383" s="109"/>
      <c r="AA383" s="109"/>
      <c r="AB383" s="109"/>
      <c r="AC383" s="109"/>
      <c r="AD383" s="109"/>
      <c r="AE383" s="109"/>
      <c r="AF383" s="109"/>
      <c r="AG383" s="109"/>
      <c r="AH383" s="109"/>
      <c r="AI383" s="109"/>
      <c r="AJ383" s="109"/>
      <c r="AK383" s="109"/>
      <c r="AL383" s="109"/>
      <c r="AM383" s="109"/>
      <c r="AN383" s="109"/>
      <c r="AO383" s="109"/>
      <c r="AP383" s="109"/>
      <c r="AQ383" s="109"/>
      <c r="AR383" s="109"/>
      <c r="AS383" s="109"/>
      <c r="AT383" s="109"/>
      <c r="AU383" s="109"/>
      <c r="AV383" s="109"/>
      <c r="AW383" s="109"/>
      <c r="AX383" s="109"/>
      <c r="AY383" s="109"/>
      <c r="AZ383" s="109"/>
      <c r="BA383" s="109"/>
      <c r="BB383" s="109"/>
      <c r="BC383" s="109"/>
      <c r="BD383" s="109"/>
      <c r="BE383" s="109"/>
      <c r="BF383" s="109"/>
      <c r="BG383" s="109"/>
      <c r="BH383" s="109"/>
      <c r="BI383" s="109"/>
      <c r="BJ383" s="109"/>
      <c r="BK383" s="109"/>
      <c r="BL383" s="109"/>
      <c r="BM383" s="109"/>
      <c r="BN383" s="109"/>
      <c r="BO383" s="109"/>
      <c r="BP383" s="109"/>
      <c r="BQ383" s="109"/>
      <c r="BR383" s="109"/>
      <c r="BS383" s="109"/>
      <c r="BT383" s="109"/>
      <c r="BU383" s="109"/>
    </row>
    <row r="384" ht="15.75" customHeight="1">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10"/>
      <c r="X384" s="109"/>
      <c r="Y384" s="109"/>
      <c r="Z384" s="109"/>
      <c r="AA384" s="109"/>
      <c r="AB384" s="109"/>
      <c r="AC384" s="109"/>
      <c r="AD384" s="109"/>
      <c r="AE384" s="109"/>
      <c r="AF384" s="109"/>
      <c r="AG384" s="109"/>
      <c r="AH384" s="109"/>
      <c r="AI384" s="109"/>
      <c r="AJ384" s="109"/>
      <c r="AK384" s="109"/>
      <c r="AL384" s="109"/>
      <c r="AM384" s="109"/>
      <c r="AN384" s="109"/>
      <c r="AO384" s="109"/>
      <c r="AP384" s="109"/>
      <c r="AQ384" s="109"/>
      <c r="AR384" s="109"/>
      <c r="AS384" s="109"/>
      <c r="AT384" s="109"/>
      <c r="AU384" s="109"/>
      <c r="AV384" s="109"/>
      <c r="AW384" s="109"/>
      <c r="AX384" s="109"/>
      <c r="AY384" s="109"/>
      <c r="AZ384" s="109"/>
      <c r="BA384" s="109"/>
      <c r="BB384" s="109"/>
      <c r="BC384" s="109"/>
      <c r="BD384" s="109"/>
      <c r="BE384" s="109"/>
      <c r="BF384" s="109"/>
      <c r="BG384" s="109"/>
      <c r="BH384" s="109"/>
      <c r="BI384" s="109"/>
      <c r="BJ384" s="109"/>
      <c r="BK384" s="109"/>
      <c r="BL384" s="109"/>
      <c r="BM384" s="109"/>
      <c r="BN384" s="109"/>
      <c r="BO384" s="109"/>
      <c r="BP384" s="109"/>
      <c r="BQ384" s="109"/>
      <c r="BR384" s="109"/>
      <c r="BS384" s="109"/>
      <c r="BT384" s="109"/>
      <c r="BU384" s="109"/>
    </row>
    <row r="385" ht="15.75" customHeight="1">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10"/>
      <c r="X385" s="109"/>
      <c r="Y385" s="109"/>
      <c r="Z385" s="109"/>
      <c r="AA385" s="109"/>
      <c r="AB385" s="109"/>
      <c r="AC385" s="109"/>
      <c r="AD385" s="109"/>
      <c r="AE385" s="109"/>
      <c r="AF385" s="109"/>
      <c r="AG385" s="109"/>
      <c r="AH385" s="109"/>
      <c r="AI385" s="109"/>
      <c r="AJ385" s="109"/>
      <c r="AK385" s="109"/>
      <c r="AL385" s="109"/>
      <c r="AM385" s="109"/>
      <c r="AN385" s="109"/>
      <c r="AO385" s="109"/>
      <c r="AP385" s="109"/>
      <c r="AQ385" s="109"/>
      <c r="AR385" s="109"/>
      <c r="AS385" s="109"/>
      <c r="AT385" s="109"/>
      <c r="AU385" s="109"/>
      <c r="AV385" s="109"/>
      <c r="AW385" s="109"/>
      <c r="AX385" s="109"/>
      <c r="AY385" s="109"/>
      <c r="AZ385" s="109"/>
      <c r="BA385" s="109"/>
      <c r="BB385" s="109"/>
      <c r="BC385" s="109"/>
      <c r="BD385" s="109"/>
      <c r="BE385" s="109"/>
      <c r="BF385" s="109"/>
      <c r="BG385" s="109"/>
      <c r="BH385" s="109"/>
      <c r="BI385" s="109"/>
      <c r="BJ385" s="109"/>
      <c r="BK385" s="109"/>
      <c r="BL385" s="109"/>
      <c r="BM385" s="109"/>
      <c r="BN385" s="109"/>
      <c r="BO385" s="109"/>
      <c r="BP385" s="109"/>
      <c r="BQ385" s="109"/>
      <c r="BR385" s="109"/>
      <c r="BS385" s="109"/>
      <c r="BT385" s="109"/>
      <c r="BU385" s="109"/>
    </row>
    <row r="386" ht="15.75" customHeight="1">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10"/>
      <c r="X386" s="109"/>
      <c r="Y386" s="109"/>
      <c r="Z386" s="109"/>
      <c r="AA386" s="109"/>
      <c r="AB386" s="109"/>
      <c r="AC386" s="109"/>
      <c r="AD386" s="109"/>
      <c r="AE386" s="109"/>
      <c r="AF386" s="109"/>
      <c r="AG386" s="109"/>
      <c r="AH386" s="109"/>
      <c r="AI386" s="109"/>
      <c r="AJ386" s="109"/>
      <c r="AK386" s="109"/>
      <c r="AL386" s="109"/>
      <c r="AM386" s="109"/>
      <c r="AN386" s="109"/>
      <c r="AO386" s="109"/>
      <c r="AP386" s="109"/>
      <c r="AQ386" s="109"/>
      <c r="AR386" s="109"/>
      <c r="AS386" s="109"/>
      <c r="AT386" s="109"/>
      <c r="AU386" s="109"/>
      <c r="AV386" s="109"/>
      <c r="AW386" s="109"/>
      <c r="AX386" s="109"/>
      <c r="AY386" s="109"/>
      <c r="AZ386" s="109"/>
      <c r="BA386" s="109"/>
      <c r="BB386" s="109"/>
      <c r="BC386" s="109"/>
      <c r="BD386" s="109"/>
      <c r="BE386" s="109"/>
      <c r="BF386" s="109"/>
      <c r="BG386" s="109"/>
      <c r="BH386" s="109"/>
      <c r="BI386" s="109"/>
      <c r="BJ386" s="109"/>
      <c r="BK386" s="109"/>
      <c r="BL386" s="109"/>
      <c r="BM386" s="109"/>
      <c r="BN386" s="109"/>
      <c r="BO386" s="109"/>
      <c r="BP386" s="109"/>
      <c r="BQ386" s="109"/>
      <c r="BR386" s="109"/>
      <c r="BS386" s="109"/>
      <c r="BT386" s="109"/>
      <c r="BU386" s="109"/>
    </row>
    <row r="387" ht="15.75" customHeight="1">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10"/>
      <c r="X387" s="109"/>
      <c r="Y387" s="109"/>
      <c r="Z387" s="109"/>
      <c r="AA387" s="109"/>
      <c r="AB387" s="109"/>
      <c r="AC387" s="109"/>
      <c r="AD387" s="109"/>
      <c r="AE387" s="109"/>
      <c r="AF387" s="109"/>
      <c r="AG387" s="109"/>
      <c r="AH387" s="109"/>
      <c r="AI387" s="109"/>
      <c r="AJ387" s="109"/>
      <c r="AK387" s="109"/>
      <c r="AL387" s="109"/>
      <c r="AM387" s="109"/>
      <c r="AN387" s="109"/>
      <c r="AO387" s="109"/>
      <c r="AP387" s="109"/>
      <c r="AQ387" s="109"/>
      <c r="AR387" s="109"/>
      <c r="AS387" s="109"/>
      <c r="AT387" s="109"/>
      <c r="AU387" s="109"/>
      <c r="AV387" s="109"/>
      <c r="AW387" s="109"/>
      <c r="AX387" s="109"/>
      <c r="AY387" s="109"/>
      <c r="AZ387" s="109"/>
      <c r="BA387" s="109"/>
      <c r="BB387" s="109"/>
      <c r="BC387" s="109"/>
      <c r="BD387" s="109"/>
      <c r="BE387" s="109"/>
      <c r="BF387" s="109"/>
      <c r="BG387" s="109"/>
      <c r="BH387" s="109"/>
      <c r="BI387" s="109"/>
      <c r="BJ387" s="109"/>
      <c r="BK387" s="109"/>
      <c r="BL387" s="109"/>
      <c r="BM387" s="109"/>
      <c r="BN387" s="109"/>
      <c r="BO387" s="109"/>
      <c r="BP387" s="109"/>
      <c r="BQ387" s="109"/>
      <c r="BR387" s="109"/>
      <c r="BS387" s="109"/>
      <c r="BT387" s="109"/>
      <c r="BU387" s="109"/>
    </row>
    <row r="388" ht="15.75" customHeight="1">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10"/>
      <c r="X388" s="109"/>
      <c r="Y388" s="109"/>
      <c r="Z388" s="109"/>
      <c r="AA388" s="109"/>
      <c r="AB388" s="109"/>
      <c r="AC388" s="109"/>
      <c r="AD388" s="109"/>
      <c r="AE388" s="109"/>
      <c r="AF388" s="109"/>
      <c r="AG388" s="109"/>
      <c r="AH388" s="109"/>
      <c r="AI388" s="109"/>
      <c r="AJ388" s="109"/>
      <c r="AK388" s="109"/>
      <c r="AL388" s="109"/>
      <c r="AM388" s="109"/>
      <c r="AN388" s="109"/>
      <c r="AO388" s="109"/>
      <c r="AP388" s="109"/>
      <c r="AQ388" s="109"/>
      <c r="AR388" s="109"/>
      <c r="AS388" s="109"/>
      <c r="AT388" s="109"/>
      <c r="AU388" s="109"/>
      <c r="AV388" s="109"/>
      <c r="AW388" s="109"/>
      <c r="AX388" s="109"/>
      <c r="AY388" s="109"/>
      <c r="AZ388" s="109"/>
      <c r="BA388" s="109"/>
      <c r="BB388" s="109"/>
      <c r="BC388" s="109"/>
      <c r="BD388" s="109"/>
      <c r="BE388" s="109"/>
      <c r="BF388" s="109"/>
      <c r="BG388" s="109"/>
      <c r="BH388" s="109"/>
      <c r="BI388" s="109"/>
      <c r="BJ388" s="109"/>
      <c r="BK388" s="109"/>
      <c r="BL388" s="109"/>
      <c r="BM388" s="109"/>
      <c r="BN388" s="109"/>
      <c r="BO388" s="109"/>
      <c r="BP388" s="109"/>
      <c r="BQ388" s="109"/>
      <c r="BR388" s="109"/>
      <c r="BS388" s="109"/>
      <c r="BT388" s="109"/>
      <c r="BU388" s="109"/>
    </row>
    <row r="389" ht="15.75" customHeight="1">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10"/>
      <c r="X389" s="109"/>
      <c r="Y389" s="109"/>
      <c r="Z389" s="109"/>
      <c r="AA389" s="109"/>
      <c r="AB389" s="109"/>
      <c r="AC389" s="109"/>
      <c r="AD389" s="109"/>
      <c r="AE389" s="109"/>
      <c r="AF389" s="109"/>
      <c r="AG389" s="109"/>
      <c r="AH389" s="109"/>
      <c r="AI389" s="109"/>
      <c r="AJ389" s="109"/>
      <c r="AK389" s="109"/>
      <c r="AL389" s="109"/>
      <c r="AM389" s="109"/>
      <c r="AN389" s="109"/>
      <c r="AO389" s="109"/>
      <c r="AP389" s="109"/>
      <c r="AQ389" s="109"/>
      <c r="AR389" s="109"/>
      <c r="AS389" s="109"/>
      <c r="AT389" s="109"/>
      <c r="AU389" s="109"/>
      <c r="AV389" s="109"/>
      <c r="AW389" s="109"/>
      <c r="AX389" s="109"/>
      <c r="AY389" s="109"/>
      <c r="AZ389" s="109"/>
      <c r="BA389" s="109"/>
      <c r="BB389" s="109"/>
      <c r="BC389" s="109"/>
      <c r="BD389" s="109"/>
      <c r="BE389" s="109"/>
      <c r="BF389" s="109"/>
      <c r="BG389" s="109"/>
      <c r="BH389" s="109"/>
      <c r="BI389" s="109"/>
      <c r="BJ389" s="109"/>
      <c r="BK389" s="109"/>
      <c r="BL389" s="109"/>
      <c r="BM389" s="109"/>
      <c r="BN389" s="109"/>
      <c r="BO389" s="109"/>
      <c r="BP389" s="109"/>
      <c r="BQ389" s="109"/>
      <c r="BR389" s="109"/>
      <c r="BS389" s="109"/>
      <c r="BT389" s="109"/>
      <c r="BU389" s="109"/>
    </row>
    <row r="390" ht="15.75" customHeight="1">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10"/>
      <c r="X390" s="109"/>
      <c r="Y390" s="109"/>
      <c r="Z390" s="109"/>
      <c r="AA390" s="109"/>
      <c r="AB390" s="109"/>
      <c r="AC390" s="109"/>
      <c r="AD390" s="109"/>
      <c r="AE390" s="109"/>
      <c r="AF390" s="109"/>
      <c r="AG390" s="109"/>
      <c r="AH390" s="109"/>
      <c r="AI390" s="109"/>
      <c r="AJ390" s="109"/>
      <c r="AK390" s="109"/>
      <c r="AL390" s="109"/>
      <c r="AM390" s="109"/>
      <c r="AN390" s="109"/>
      <c r="AO390" s="109"/>
      <c r="AP390" s="109"/>
      <c r="AQ390" s="109"/>
      <c r="AR390" s="109"/>
      <c r="AS390" s="109"/>
      <c r="AT390" s="109"/>
      <c r="AU390" s="109"/>
      <c r="AV390" s="109"/>
      <c r="AW390" s="109"/>
      <c r="AX390" s="109"/>
      <c r="AY390" s="109"/>
      <c r="AZ390" s="109"/>
      <c r="BA390" s="109"/>
      <c r="BB390" s="109"/>
      <c r="BC390" s="109"/>
      <c r="BD390" s="109"/>
      <c r="BE390" s="109"/>
      <c r="BF390" s="109"/>
      <c r="BG390" s="109"/>
      <c r="BH390" s="109"/>
      <c r="BI390" s="109"/>
      <c r="BJ390" s="109"/>
      <c r="BK390" s="109"/>
      <c r="BL390" s="109"/>
      <c r="BM390" s="109"/>
      <c r="BN390" s="109"/>
      <c r="BO390" s="109"/>
      <c r="BP390" s="109"/>
      <c r="BQ390" s="109"/>
      <c r="BR390" s="109"/>
      <c r="BS390" s="109"/>
      <c r="BT390" s="109"/>
      <c r="BU390" s="109"/>
    </row>
    <row r="391" ht="15.75" customHeight="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10"/>
      <c r="X391" s="109"/>
      <c r="Y391" s="109"/>
      <c r="Z391" s="109"/>
      <c r="AA391" s="109"/>
      <c r="AB391" s="109"/>
      <c r="AC391" s="109"/>
      <c r="AD391" s="109"/>
      <c r="AE391" s="109"/>
      <c r="AF391" s="109"/>
      <c r="AG391" s="109"/>
      <c r="AH391" s="109"/>
      <c r="AI391" s="109"/>
      <c r="AJ391" s="109"/>
      <c r="AK391" s="109"/>
      <c r="AL391" s="109"/>
      <c r="AM391" s="109"/>
      <c r="AN391" s="109"/>
      <c r="AO391" s="109"/>
      <c r="AP391" s="109"/>
      <c r="AQ391" s="109"/>
      <c r="AR391" s="109"/>
      <c r="AS391" s="109"/>
      <c r="AT391" s="109"/>
      <c r="AU391" s="109"/>
      <c r="AV391" s="109"/>
      <c r="AW391" s="109"/>
      <c r="AX391" s="109"/>
      <c r="AY391" s="109"/>
      <c r="AZ391" s="109"/>
      <c r="BA391" s="109"/>
      <c r="BB391" s="109"/>
      <c r="BC391" s="109"/>
      <c r="BD391" s="109"/>
      <c r="BE391" s="109"/>
      <c r="BF391" s="109"/>
      <c r="BG391" s="109"/>
      <c r="BH391" s="109"/>
      <c r="BI391" s="109"/>
      <c r="BJ391" s="109"/>
      <c r="BK391" s="109"/>
      <c r="BL391" s="109"/>
      <c r="BM391" s="109"/>
      <c r="BN391" s="109"/>
      <c r="BO391" s="109"/>
      <c r="BP391" s="109"/>
      <c r="BQ391" s="109"/>
      <c r="BR391" s="109"/>
      <c r="BS391" s="109"/>
      <c r="BT391" s="109"/>
      <c r="BU391" s="109"/>
    </row>
    <row r="392" ht="15.75" customHeight="1">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10"/>
      <c r="X392" s="109"/>
      <c r="Y392" s="109"/>
      <c r="Z392" s="109"/>
      <c r="AA392" s="109"/>
      <c r="AB392" s="109"/>
      <c r="AC392" s="109"/>
      <c r="AD392" s="109"/>
      <c r="AE392" s="109"/>
      <c r="AF392" s="109"/>
      <c r="AG392" s="109"/>
      <c r="AH392" s="109"/>
      <c r="AI392" s="109"/>
      <c r="AJ392" s="109"/>
      <c r="AK392" s="109"/>
      <c r="AL392" s="109"/>
      <c r="AM392" s="109"/>
      <c r="AN392" s="109"/>
      <c r="AO392" s="109"/>
      <c r="AP392" s="109"/>
      <c r="AQ392" s="109"/>
      <c r="AR392" s="109"/>
      <c r="AS392" s="109"/>
      <c r="AT392" s="109"/>
      <c r="AU392" s="109"/>
      <c r="AV392" s="109"/>
      <c r="AW392" s="109"/>
      <c r="AX392" s="109"/>
      <c r="AY392" s="109"/>
      <c r="AZ392" s="109"/>
      <c r="BA392" s="109"/>
      <c r="BB392" s="109"/>
      <c r="BC392" s="109"/>
      <c r="BD392" s="109"/>
      <c r="BE392" s="109"/>
      <c r="BF392" s="109"/>
      <c r="BG392" s="109"/>
      <c r="BH392" s="109"/>
      <c r="BI392" s="109"/>
      <c r="BJ392" s="109"/>
      <c r="BK392" s="109"/>
      <c r="BL392" s="109"/>
      <c r="BM392" s="109"/>
      <c r="BN392" s="109"/>
      <c r="BO392" s="109"/>
      <c r="BP392" s="109"/>
      <c r="BQ392" s="109"/>
      <c r="BR392" s="109"/>
      <c r="BS392" s="109"/>
      <c r="BT392" s="109"/>
      <c r="BU392" s="109"/>
    </row>
    <row r="393" ht="15.75" customHeight="1">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10"/>
      <c r="X393" s="109"/>
      <c r="Y393" s="109"/>
      <c r="Z393" s="109"/>
      <c r="AA393" s="109"/>
      <c r="AB393" s="109"/>
      <c r="AC393" s="109"/>
      <c r="AD393" s="109"/>
      <c r="AE393" s="109"/>
      <c r="AF393" s="109"/>
      <c r="AG393" s="109"/>
      <c r="AH393" s="109"/>
      <c r="AI393" s="109"/>
      <c r="AJ393" s="109"/>
      <c r="AK393" s="109"/>
      <c r="AL393" s="109"/>
      <c r="AM393" s="109"/>
      <c r="AN393" s="109"/>
      <c r="AO393" s="109"/>
      <c r="AP393" s="109"/>
      <c r="AQ393" s="109"/>
      <c r="AR393" s="109"/>
      <c r="AS393" s="109"/>
      <c r="AT393" s="109"/>
      <c r="AU393" s="109"/>
      <c r="AV393" s="109"/>
      <c r="AW393" s="109"/>
      <c r="AX393" s="109"/>
      <c r="AY393" s="109"/>
      <c r="AZ393" s="109"/>
      <c r="BA393" s="109"/>
      <c r="BB393" s="109"/>
      <c r="BC393" s="109"/>
      <c r="BD393" s="109"/>
      <c r="BE393" s="109"/>
      <c r="BF393" s="109"/>
      <c r="BG393" s="109"/>
      <c r="BH393" s="109"/>
      <c r="BI393" s="109"/>
      <c r="BJ393" s="109"/>
      <c r="BK393" s="109"/>
      <c r="BL393" s="109"/>
      <c r="BM393" s="109"/>
      <c r="BN393" s="109"/>
      <c r="BO393" s="109"/>
      <c r="BP393" s="109"/>
      <c r="BQ393" s="109"/>
      <c r="BR393" s="109"/>
      <c r="BS393" s="109"/>
      <c r="BT393" s="109"/>
      <c r="BU393" s="109"/>
    </row>
    <row r="394" ht="15.75" customHeight="1">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10"/>
      <c r="X394" s="109"/>
      <c r="Y394" s="109"/>
      <c r="Z394" s="109"/>
      <c r="AA394" s="109"/>
      <c r="AB394" s="109"/>
      <c r="AC394" s="109"/>
      <c r="AD394" s="109"/>
      <c r="AE394" s="109"/>
      <c r="AF394" s="109"/>
      <c r="AG394" s="109"/>
      <c r="AH394" s="109"/>
      <c r="AI394" s="109"/>
      <c r="AJ394" s="109"/>
      <c r="AK394" s="109"/>
      <c r="AL394" s="109"/>
      <c r="AM394" s="109"/>
      <c r="AN394" s="109"/>
      <c r="AO394" s="109"/>
      <c r="AP394" s="109"/>
      <c r="AQ394" s="109"/>
      <c r="AR394" s="109"/>
      <c r="AS394" s="109"/>
      <c r="AT394" s="109"/>
      <c r="AU394" s="109"/>
      <c r="AV394" s="109"/>
      <c r="AW394" s="109"/>
      <c r="AX394" s="109"/>
      <c r="AY394" s="109"/>
      <c r="AZ394" s="109"/>
      <c r="BA394" s="109"/>
      <c r="BB394" s="109"/>
      <c r="BC394" s="109"/>
      <c r="BD394" s="109"/>
      <c r="BE394" s="109"/>
      <c r="BF394" s="109"/>
      <c r="BG394" s="109"/>
      <c r="BH394" s="109"/>
      <c r="BI394" s="109"/>
      <c r="BJ394" s="109"/>
      <c r="BK394" s="109"/>
      <c r="BL394" s="109"/>
      <c r="BM394" s="109"/>
      <c r="BN394" s="109"/>
      <c r="BO394" s="109"/>
      <c r="BP394" s="109"/>
      <c r="BQ394" s="109"/>
      <c r="BR394" s="109"/>
      <c r="BS394" s="109"/>
      <c r="BT394" s="109"/>
      <c r="BU394" s="109"/>
    </row>
    <row r="395" ht="15.75" customHeight="1">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10"/>
      <c r="X395" s="109"/>
      <c r="Y395" s="109"/>
      <c r="Z395" s="109"/>
      <c r="AA395" s="109"/>
      <c r="AB395" s="109"/>
      <c r="AC395" s="109"/>
      <c r="AD395" s="109"/>
      <c r="AE395" s="109"/>
      <c r="AF395" s="109"/>
      <c r="AG395" s="109"/>
      <c r="AH395" s="109"/>
      <c r="AI395" s="109"/>
      <c r="AJ395" s="109"/>
      <c r="AK395" s="109"/>
      <c r="AL395" s="109"/>
      <c r="AM395" s="109"/>
      <c r="AN395" s="109"/>
      <c r="AO395" s="109"/>
      <c r="AP395" s="109"/>
      <c r="AQ395" s="109"/>
      <c r="AR395" s="109"/>
      <c r="AS395" s="109"/>
      <c r="AT395" s="109"/>
      <c r="AU395" s="109"/>
      <c r="AV395" s="109"/>
      <c r="AW395" s="109"/>
      <c r="AX395" s="109"/>
      <c r="AY395" s="109"/>
      <c r="AZ395" s="109"/>
      <c r="BA395" s="109"/>
      <c r="BB395" s="109"/>
      <c r="BC395" s="109"/>
      <c r="BD395" s="109"/>
      <c r="BE395" s="109"/>
      <c r="BF395" s="109"/>
      <c r="BG395" s="109"/>
      <c r="BH395" s="109"/>
      <c r="BI395" s="109"/>
      <c r="BJ395" s="109"/>
      <c r="BK395" s="109"/>
      <c r="BL395" s="109"/>
      <c r="BM395" s="109"/>
      <c r="BN395" s="109"/>
      <c r="BO395" s="109"/>
      <c r="BP395" s="109"/>
      <c r="BQ395" s="109"/>
      <c r="BR395" s="109"/>
      <c r="BS395" s="109"/>
      <c r="BT395" s="109"/>
      <c r="BU395" s="109"/>
    </row>
    <row r="396" ht="15.75" customHeight="1">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10"/>
      <c r="X396" s="109"/>
      <c r="Y396" s="109"/>
      <c r="Z396" s="109"/>
      <c r="AA396" s="109"/>
      <c r="AB396" s="109"/>
      <c r="AC396" s="109"/>
      <c r="AD396" s="109"/>
      <c r="AE396" s="109"/>
      <c r="AF396" s="109"/>
      <c r="AG396" s="109"/>
      <c r="AH396" s="109"/>
      <c r="AI396" s="109"/>
      <c r="AJ396" s="109"/>
      <c r="AK396" s="109"/>
      <c r="AL396" s="109"/>
      <c r="AM396" s="109"/>
      <c r="AN396" s="109"/>
      <c r="AO396" s="109"/>
      <c r="AP396" s="109"/>
      <c r="AQ396" s="109"/>
      <c r="AR396" s="109"/>
      <c r="AS396" s="109"/>
      <c r="AT396" s="109"/>
      <c r="AU396" s="109"/>
      <c r="AV396" s="109"/>
      <c r="AW396" s="109"/>
      <c r="AX396" s="109"/>
      <c r="AY396" s="109"/>
      <c r="AZ396" s="109"/>
      <c r="BA396" s="109"/>
      <c r="BB396" s="109"/>
      <c r="BC396" s="109"/>
      <c r="BD396" s="109"/>
      <c r="BE396" s="109"/>
      <c r="BF396" s="109"/>
      <c r="BG396" s="109"/>
      <c r="BH396" s="109"/>
      <c r="BI396" s="109"/>
      <c r="BJ396" s="109"/>
      <c r="BK396" s="109"/>
      <c r="BL396" s="109"/>
      <c r="BM396" s="109"/>
      <c r="BN396" s="109"/>
      <c r="BO396" s="109"/>
      <c r="BP396" s="109"/>
      <c r="BQ396" s="109"/>
      <c r="BR396" s="109"/>
      <c r="BS396" s="109"/>
      <c r="BT396" s="109"/>
      <c r="BU396" s="109"/>
    </row>
    <row r="397" ht="15.75" customHeight="1">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10"/>
      <c r="X397" s="109"/>
      <c r="Y397" s="109"/>
      <c r="Z397" s="109"/>
      <c r="AA397" s="109"/>
      <c r="AB397" s="109"/>
      <c r="AC397" s="109"/>
      <c r="AD397" s="109"/>
      <c r="AE397" s="109"/>
      <c r="AF397" s="109"/>
      <c r="AG397" s="109"/>
      <c r="AH397" s="109"/>
      <c r="AI397" s="109"/>
      <c r="AJ397" s="109"/>
      <c r="AK397" s="109"/>
      <c r="AL397" s="109"/>
      <c r="AM397" s="109"/>
      <c r="AN397" s="109"/>
      <c r="AO397" s="109"/>
      <c r="AP397" s="109"/>
      <c r="AQ397" s="109"/>
      <c r="AR397" s="109"/>
      <c r="AS397" s="109"/>
      <c r="AT397" s="109"/>
      <c r="AU397" s="109"/>
      <c r="AV397" s="109"/>
      <c r="AW397" s="109"/>
      <c r="AX397" s="109"/>
      <c r="AY397" s="109"/>
      <c r="AZ397" s="109"/>
      <c r="BA397" s="109"/>
      <c r="BB397" s="109"/>
      <c r="BC397" s="109"/>
      <c r="BD397" s="109"/>
      <c r="BE397" s="109"/>
      <c r="BF397" s="109"/>
      <c r="BG397" s="109"/>
      <c r="BH397" s="109"/>
      <c r="BI397" s="109"/>
      <c r="BJ397" s="109"/>
      <c r="BK397" s="109"/>
      <c r="BL397" s="109"/>
      <c r="BM397" s="109"/>
      <c r="BN397" s="109"/>
      <c r="BO397" s="109"/>
      <c r="BP397" s="109"/>
      <c r="BQ397" s="109"/>
      <c r="BR397" s="109"/>
      <c r="BS397" s="109"/>
      <c r="BT397" s="109"/>
      <c r="BU397" s="109"/>
    </row>
    <row r="398" ht="15.75" customHeight="1">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10"/>
      <c r="X398" s="109"/>
      <c r="Y398" s="109"/>
      <c r="Z398" s="109"/>
      <c r="AA398" s="109"/>
      <c r="AB398" s="109"/>
      <c r="AC398" s="109"/>
      <c r="AD398" s="109"/>
      <c r="AE398" s="109"/>
      <c r="AF398" s="109"/>
      <c r="AG398" s="109"/>
      <c r="AH398" s="109"/>
      <c r="AI398" s="109"/>
      <c r="AJ398" s="109"/>
      <c r="AK398" s="109"/>
      <c r="AL398" s="109"/>
      <c r="AM398" s="109"/>
      <c r="AN398" s="109"/>
      <c r="AO398" s="109"/>
      <c r="AP398" s="109"/>
      <c r="AQ398" s="109"/>
      <c r="AR398" s="109"/>
      <c r="AS398" s="109"/>
      <c r="AT398" s="109"/>
      <c r="AU398" s="109"/>
      <c r="AV398" s="109"/>
      <c r="AW398" s="109"/>
      <c r="AX398" s="109"/>
      <c r="AY398" s="109"/>
      <c r="AZ398" s="109"/>
      <c r="BA398" s="109"/>
      <c r="BB398" s="109"/>
      <c r="BC398" s="109"/>
      <c r="BD398" s="109"/>
      <c r="BE398" s="109"/>
      <c r="BF398" s="109"/>
      <c r="BG398" s="109"/>
      <c r="BH398" s="109"/>
      <c r="BI398" s="109"/>
      <c r="BJ398" s="109"/>
      <c r="BK398" s="109"/>
      <c r="BL398" s="109"/>
      <c r="BM398" s="109"/>
      <c r="BN398" s="109"/>
      <c r="BO398" s="109"/>
      <c r="BP398" s="109"/>
      <c r="BQ398" s="109"/>
      <c r="BR398" s="109"/>
      <c r="BS398" s="109"/>
      <c r="BT398" s="109"/>
      <c r="BU398" s="109"/>
    </row>
    <row r="399" ht="15.75" customHeight="1">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10"/>
      <c r="X399" s="109"/>
      <c r="Y399" s="109"/>
      <c r="Z399" s="109"/>
      <c r="AA399" s="109"/>
      <c r="AB399" s="109"/>
      <c r="AC399" s="109"/>
      <c r="AD399" s="109"/>
      <c r="AE399" s="109"/>
      <c r="AF399" s="109"/>
      <c r="AG399" s="109"/>
      <c r="AH399" s="109"/>
      <c r="AI399" s="109"/>
      <c r="AJ399" s="109"/>
      <c r="AK399" s="109"/>
      <c r="AL399" s="109"/>
      <c r="AM399" s="109"/>
      <c r="AN399" s="109"/>
      <c r="AO399" s="109"/>
      <c r="AP399" s="109"/>
      <c r="AQ399" s="109"/>
      <c r="AR399" s="109"/>
      <c r="AS399" s="109"/>
      <c r="AT399" s="109"/>
      <c r="AU399" s="109"/>
      <c r="AV399" s="109"/>
      <c r="AW399" s="109"/>
      <c r="AX399" s="109"/>
      <c r="AY399" s="109"/>
      <c r="AZ399" s="109"/>
      <c r="BA399" s="109"/>
      <c r="BB399" s="109"/>
      <c r="BC399" s="109"/>
      <c r="BD399" s="109"/>
      <c r="BE399" s="109"/>
      <c r="BF399" s="109"/>
      <c r="BG399" s="109"/>
      <c r="BH399" s="109"/>
      <c r="BI399" s="109"/>
      <c r="BJ399" s="109"/>
      <c r="BK399" s="109"/>
      <c r="BL399" s="109"/>
      <c r="BM399" s="109"/>
      <c r="BN399" s="109"/>
      <c r="BO399" s="109"/>
      <c r="BP399" s="109"/>
      <c r="BQ399" s="109"/>
      <c r="BR399" s="109"/>
      <c r="BS399" s="109"/>
      <c r="BT399" s="109"/>
      <c r="BU399" s="109"/>
    </row>
    <row r="400" ht="15.75" customHeight="1">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10"/>
      <c r="X400" s="109"/>
      <c r="Y400" s="109"/>
      <c r="Z400" s="109"/>
      <c r="AA400" s="109"/>
      <c r="AB400" s="109"/>
      <c r="AC400" s="109"/>
      <c r="AD400" s="109"/>
      <c r="AE400" s="109"/>
      <c r="AF400" s="109"/>
      <c r="AG400" s="109"/>
      <c r="AH400" s="109"/>
      <c r="AI400" s="109"/>
      <c r="AJ400" s="109"/>
      <c r="AK400" s="109"/>
      <c r="AL400" s="109"/>
      <c r="AM400" s="109"/>
      <c r="AN400" s="109"/>
      <c r="AO400" s="109"/>
      <c r="AP400" s="109"/>
      <c r="AQ400" s="109"/>
      <c r="AR400" s="109"/>
      <c r="AS400" s="109"/>
      <c r="AT400" s="109"/>
      <c r="AU400" s="109"/>
      <c r="AV400" s="109"/>
      <c r="AW400" s="109"/>
      <c r="AX400" s="109"/>
      <c r="AY400" s="109"/>
      <c r="AZ400" s="109"/>
      <c r="BA400" s="109"/>
      <c r="BB400" s="109"/>
      <c r="BC400" s="109"/>
      <c r="BD400" s="109"/>
      <c r="BE400" s="109"/>
      <c r="BF400" s="109"/>
      <c r="BG400" s="109"/>
      <c r="BH400" s="109"/>
      <c r="BI400" s="109"/>
      <c r="BJ400" s="109"/>
      <c r="BK400" s="109"/>
      <c r="BL400" s="109"/>
      <c r="BM400" s="109"/>
      <c r="BN400" s="109"/>
      <c r="BO400" s="109"/>
      <c r="BP400" s="109"/>
      <c r="BQ400" s="109"/>
      <c r="BR400" s="109"/>
      <c r="BS400" s="109"/>
      <c r="BT400" s="109"/>
      <c r="BU400" s="109"/>
    </row>
    <row r="401" ht="15.75" customHeight="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10"/>
      <c r="X401" s="109"/>
      <c r="Y401" s="109"/>
      <c r="Z401" s="109"/>
      <c r="AA401" s="109"/>
      <c r="AB401" s="109"/>
      <c r="AC401" s="109"/>
      <c r="AD401" s="109"/>
      <c r="AE401" s="109"/>
      <c r="AF401" s="109"/>
      <c r="AG401" s="109"/>
      <c r="AH401" s="109"/>
      <c r="AI401" s="109"/>
      <c r="AJ401" s="109"/>
      <c r="AK401" s="109"/>
      <c r="AL401" s="109"/>
      <c r="AM401" s="109"/>
      <c r="AN401" s="109"/>
      <c r="AO401" s="109"/>
      <c r="AP401" s="109"/>
      <c r="AQ401" s="109"/>
      <c r="AR401" s="109"/>
      <c r="AS401" s="109"/>
      <c r="AT401" s="109"/>
      <c r="AU401" s="109"/>
      <c r="AV401" s="109"/>
      <c r="AW401" s="109"/>
      <c r="AX401" s="109"/>
      <c r="AY401" s="109"/>
      <c r="AZ401" s="109"/>
      <c r="BA401" s="109"/>
      <c r="BB401" s="109"/>
      <c r="BC401" s="109"/>
      <c r="BD401" s="109"/>
      <c r="BE401" s="109"/>
      <c r="BF401" s="109"/>
      <c r="BG401" s="109"/>
      <c r="BH401" s="109"/>
      <c r="BI401" s="109"/>
      <c r="BJ401" s="109"/>
      <c r="BK401" s="109"/>
      <c r="BL401" s="109"/>
      <c r="BM401" s="109"/>
      <c r="BN401" s="109"/>
      <c r="BO401" s="109"/>
      <c r="BP401" s="109"/>
      <c r="BQ401" s="109"/>
      <c r="BR401" s="109"/>
      <c r="BS401" s="109"/>
      <c r="BT401" s="109"/>
      <c r="BU401" s="109"/>
    </row>
    <row r="402" ht="15.75" customHeight="1">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10"/>
      <c r="X402" s="109"/>
      <c r="Y402" s="109"/>
      <c r="Z402" s="109"/>
      <c r="AA402" s="109"/>
      <c r="AB402" s="109"/>
      <c r="AC402" s="109"/>
      <c r="AD402" s="109"/>
      <c r="AE402" s="109"/>
      <c r="AF402" s="109"/>
      <c r="AG402" s="109"/>
      <c r="AH402" s="109"/>
      <c r="AI402" s="109"/>
      <c r="AJ402" s="109"/>
      <c r="AK402" s="109"/>
      <c r="AL402" s="109"/>
      <c r="AM402" s="109"/>
      <c r="AN402" s="109"/>
      <c r="AO402" s="109"/>
      <c r="AP402" s="109"/>
      <c r="AQ402" s="109"/>
      <c r="AR402" s="109"/>
      <c r="AS402" s="109"/>
      <c r="AT402" s="109"/>
      <c r="AU402" s="109"/>
      <c r="AV402" s="109"/>
      <c r="AW402" s="109"/>
      <c r="AX402" s="109"/>
      <c r="AY402" s="109"/>
      <c r="AZ402" s="109"/>
      <c r="BA402" s="109"/>
      <c r="BB402" s="109"/>
      <c r="BC402" s="109"/>
      <c r="BD402" s="109"/>
      <c r="BE402" s="109"/>
      <c r="BF402" s="109"/>
      <c r="BG402" s="109"/>
      <c r="BH402" s="109"/>
      <c r="BI402" s="109"/>
      <c r="BJ402" s="109"/>
      <c r="BK402" s="109"/>
      <c r="BL402" s="109"/>
      <c r="BM402" s="109"/>
      <c r="BN402" s="109"/>
      <c r="BO402" s="109"/>
      <c r="BP402" s="109"/>
      <c r="BQ402" s="109"/>
      <c r="BR402" s="109"/>
      <c r="BS402" s="109"/>
      <c r="BT402" s="109"/>
      <c r="BU402" s="109"/>
    </row>
    <row r="403" ht="15.75" customHeight="1">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10"/>
      <c r="X403" s="109"/>
      <c r="Y403" s="109"/>
      <c r="Z403" s="109"/>
      <c r="AA403" s="109"/>
      <c r="AB403" s="109"/>
      <c r="AC403" s="109"/>
      <c r="AD403" s="109"/>
      <c r="AE403" s="109"/>
      <c r="AF403" s="109"/>
      <c r="AG403" s="109"/>
      <c r="AH403" s="109"/>
      <c r="AI403" s="109"/>
      <c r="AJ403" s="109"/>
      <c r="AK403" s="109"/>
      <c r="AL403" s="109"/>
      <c r="AM403" s="109"/>
      <c r="AN403" s="109"/>
      <c r="AO403" s="109"/>
      <c r="AP403" s="109"/>
      <c r="AQ403" s="109"/>
      <c r="AR403" s="109"/>
      <c r="AS403" s="109"/>
      <c r="AT403" s="109"/>
      <c r="AU403" s="109"/>
      <c r="AV403" s="109"/>
      <c r="AW403" s="109"/>
      <c r="AX403" s="109"/>
      <c r="AY403" s="109"/>
      <c r="AZ403" s="109"/>
      <c r="BA403" s="109"/>
      <c r="BB403" s="109"/>
      <c r="BC403" s="109"/>
      <c r="BD403" s="109"/>
      <c r="BE403" s="109"/>
      <c r="BF403" s="109"/>
      <c r="BG403" s="109"/>
      <c r="BH403" s="109"/>
      <c r="BI403" s="109"/>
      <c r="BJ403" s="109"/>
      <c r="BK403" s="109"/>
      <c r="BL403" s="109"/>
      <c r="BM403" s="109"/>
      <c r="BN403" s="109"/>
      <c r="BO403" s="109"/>
      <c r="BP403" s="109"/>
      <c r="BQ403" s="109"/>
      <c r="BR403" s="109"/>
      <c r="BS403" s="109"/>
      <c r="BT403" s="109"/>
      <c r="BU403" s="109"/>
    </row>
    <row r="404" ht="15.75" customHeight="1">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10"/>
      <c r="X404" s="109"/>
      <c r="Y404" s="109"/>
      <c r="Z404" s="109"/>
      <c r="AA404" s="109"/>
      <c r="AB404" s="109"/>
      <c r="AC404" s="109"/>
      <c r="AD404" s="109"/>
      <c r="AE404" s="109"/>
      <c r="AF404" s="109"/>
      <c r="AG404" s="109"/>
      <c r="AH404" s="109"/>
      <c r="AI404" s="109"/>
      <c r="AJ404" s="109"/>
      <c r="AK404" s="109"/>
      <c r="AL404" s="109"/>
      <c r="AM404" s="109"/>
      <c r="AN404" s="109"/>
      <c r="AO404" s="109"/>
      <c r="AP404" s="109"/>
      <c r="AQ404" s="109"/>
      <c r="AR404" s="109"/>
      <c r="AS404" s="109"/>
      <c r="AT404" s="109"/>
      <c r="AU404" s="109"/>
      <c r="AV404" s="109"/>
      <c r="AW404" s="109"/>
      <c r="AX404" s="109"/>
      <c r="AY404" s="109"/>
      <c r="AZ404" s="109"/>
      <c r="BA404" s="109"/>
      <c r="BB404" s="109"/>
      <c r="BC404" s="109"/>
      <c r="BD404" s="109"/>
      <c r="BE404" s="109"/>
      <c r="BF404" s="109"/>
      <c r="BG404" s="109"/>
      <c r="BH404" s="109"/>
      <c r="BI404" s="109"/>
      <c r="BJ404" s="109"/>
      <c r="BK404" s="109"/>
      <c r="BL404" s="109"/>
      <c r="BM404" s="109"/>
      <c r="BN404" s="109"/>
      <c r="BO404" s="109"/>
      <c r="BP404" s="109"/>
      <c r="BQ404" s="109"/>
      <c r="BR404" s="109"/>
      <c r="BS404" s="109"/>
      <c r="BT404" s="109"/>
      <c r="BU404" s="109"/>
    </row>
    <row r="405" ht="15.75" customHeight="1">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10"/>
      <c r="X405" s="109"/>
      <c r="Y405" s="109"/>
      <c r="Z405" s="109"/>
      <c r="AA405" s="109"/>
      <c r="AB405" s="109"/>
      <c r="AC405" s="109"/>
      <c r="AD405" s="109"/>
      <c r="AE405" s="109"/>
      <c r="AF405" s="109"/>
      <c r="AG405" s="109"/>
      <c r="AH405" s="109"/>
      <c r="AI405" s="109"/>
      <c r="AJ405" s="109"/>
      <c r="AK405" s="109"/>
      <c r="AL405" s="109"/>
      <c r="AM405" s="109"/>
      <c r="AN405" s="109"/>
      <c r="AO405" s="109"/>
      <c r="AP405" s="109"/>
      <c r="AQ405" s="109"/>
      <c r="AR405" s="109"/>
      <c r="AS405" s="109"/>
      <c r="AT405" s="109"/>
      <c r="AU405" s="109"/>
      <c r="AV405" s="109"/>
      <c r="AW405" s="109"/>
      <c r="AX405" s="109"/>
      <c r="AY405" s="109"/>
      <c r="AZ405" s="109"/>
      <c r="BA405" s="109"/>
      <c r="BB405" s="109"/>
      <c r="BC405" s="109"/>
      <c r="BD405" s="109"/>
      <c r="BE405" s="109"/>
      <c r="BF405" s="109"/>
      <c r="BG405" s="109"/>
      <c r="BH405" s="109"/>
      <c r="BI405" s="109"/>
      <c r="BJ405" s="109"/>
      <c r="BK405" s="109"/>
      <c r="BL405" s="109"/>
      <c r="BM405" s="109"/>
      <c r="BN405" s="109"/>
      <c r="BO405" s="109"/>
      <c r="BP405" s="109"/>
      <c r="BQ405" s="109"/>
      <c r="BR405" s="109"/>
      <c r="BS405" s="109"/>
      <c r="BT405" s="109"/>
      <c r="BU405" s="109"/>
    </row>
    <row r="406" ht="15.75" customHeight="1">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10"/>
      <c r="X406" s="109"/>
      <c r="Y406" s="109"/>
      <c r="Z406" s="109"/>
      <c r="AA406" s="109"/>
      <c r="AB406" s="109"/>
      <c r="AC406" s="109"/>
      <c r="AD406" s="109"/>
      <c r="AE406" s="109"/>
      <c r="AF406" s="109"/>
      <c r="AG406" s="109"/>
      <c r="AH406" s="109"/>
      <c r="AI406" s="109"/>
      <c r="AJ406" s="109"/>
      <c r="AK406" s="109"/>
      <c r="AL406" s="109"/>
      <c r="AM406" s="109"/>
      <c r="AN406" s="109"/>
      <c r="AO406" s="109"/>
      <c r="AP406" s="109"/>
      <c r="AQ406" s="109"/>
      <c r="AR406" s="109"/>
      <c r="AS406" s="109"/>
      <c r="AT406" s="109"/>
      <c r="AU406" s="109"/>
      <c r="AV406" s="109"/>
      <c r="AW406" s="109"/>
      <c r="AX406" s="109"/>
      <c r="AY406" s="109"/>
      <c r="AZ406" s="109"/>
      <c r="BA406" s="109"/>
      <c r="BB406" s="109"/>
      <c r="BC406" s="109"/>
      <c r="BD406" s="109"/>
      <c r="BE406" s="109"/>
      <c r="BF406" s="109"/>
      <c r="BG406" s="109"/>
      <c r="BH406" s="109"/>
      <c r="BI406" s="109"/>
      <c r="BJ406" s="109"/>
      <c r="BK406" s="109"/>
      <c r="BL406" s="109"/>
      <c r="BM406" s="109"/>
      <c r="BN406" s="109"/>
      <c r="BO406" s="109"/>
      <c r="BP406" s="109"/>
      <c r="BQ406" s="109"/>
      <c r="BR406" s="109"/>
      <c r="BS406" s="109"/>
      <c r="BT406" s="109"/>
      <c r="BU406" s="109"/>
    </row>
    <row r="407" ht="15.75" customHeight="1">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10"/>
      <c r="X407" s="109"/>
      <c r="Y407" s="109"/>
      <c r="Z407" s="109"/>
      <c r="AA407" s="109"/>
      <c r="AB407" s="109"/>
      <c r="AC407" s="109"/>
      <c r="AD407" s="109"/>
      <c r="AE407" s="109"/>
      <c r="AF407" s="109"/>
      <c r="AG407" s="109"/>
      <c r="AH407" s="109"/>
      <c r="AI407" s="109"/>
      <c r="AJ407" s="109"/>
      <c r="AK407" s="109"/>
      <c r="AL407" s="109"/>
      <c r="AM407" s="109"/>
      <c r="AN407" s="109"/>
      <c r="AO407" s="109"/>
      <c r="AP407" s="109"/>
      <c r="AQ407" s="109"/>
      <c r="AR407" s="109"/>
      <c r="AS407" s="109"/>
      <c r="AT407" s="109"/>
      <c r="AU407" s="109"/>
      <c r="AV407" s="109"/>
      <c r="AW407" s="109"/>
      <c r="AX407" s="109"/>
      <c r="AY407" s="109"/>
      <c r="AZ407" s="109"/>
      <c r="BA407" s="109"/>
      <c r="BB407" s="109"/>
      <c r="BC407" s="109"/>
      <c r="BD407" s="109"/>
      <c r="BE407" s="109"/>
      <c r="BF407" s="109"/>
      <c r="BG407" s="109"/>
      <c r="BH407" s="109"/>
      <c r="BI407" s="109"/>
      <c r="BJ407" s="109"/>
      <c r="BK407" s="109"/>
      <c r="BL407" s="109"/>
      <c r="BM407" s="109"/>
      <c r="BN407" s="109"/>
      <c r="BO407" s="109"/>
      <c r="BP407" s="109"/>
      <c r="BQ407" s="109"/>
      <c r="BR407" s="109"/>
      <c r="BS407" s="109"/>
      <c r="BT407" s="109"/>
      <c r="BU407" s="109"/>
    </row>
    <row r="408" ht="15.75" customHeight="1">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10"/>
      <c r="X408" s="109"/>
      <c r="Y408" s="109"/>
      <c r="Z408" s="109"/>
      <c r="AA408" s="109"/>
      <c r="AB408" s="109"/>
      <c r="AC408" s="109"/>
      <c r="AD408" s="109"/>
      <c r="AE408" s="109"/>
      <c r="AF408" s="109"/>
      <c r="AG408" s="109"/>
      <c r="AH408" s="109"/>
      <c r="AI408" s="109"/>
      <c r="AJ408" s="109"/>
      <c r="AK408" s="109"/>
      <c r="AL408" s="109"/>
      <c r="AM408" s="109"/>
      <c r="AN408" s="109"/>
      <c r="AO408" s="109"/>
      <c r="AP408" s="109"/>
      <c r="AQ408" s="109"/>
      <c r="AR408" s="109"/>
      <c r="AS408" s="109"/>
      <c r="AT408" s="109"/>
      <c r="AU408" s="109"/>
      <c r="AV408" s="109"/>
      <c r="AW408" s="109"/>
      <c r="AX408" s="109"/>
      <c r="AY408" s="109"/>
      <c r="AZ408" s="109"/>
      <c r="BA408" s="109"/>
      <c r="BB408" s="109"/>
      <c r="BC408" s="109"/>
      <c r="BD408" s="109"/>
      <c r="BE408" s="109"/>
      <c r="BF408" s="109"/>
      <c r="BG408" s="109"/>
      <c r="BH408" s="109"/>
      <c r="BI408" s="109"/>
      <c r="BJ408" s="109"/>
      <c r="BK408" s="109"/>
      <c r="BL408" s="109"/>
      <c r="BM408" s="109"/>
      <c r="BN408" s="109"/>
      <c r="BO408" s="109"/>
      <c r="BP408" s="109"/>
      <c r="BQ408" s="109"/>
      <c r="BR408" s="109"/>
      <c r="BS408" s="109"/>
      <c r="BT408" s="109"/>
      <c r="BU408" s="109"/>
    </row>
    <row r="409" ht="15.75" customHeight="1">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10"/>
      <c r="X409" s="109"/>
      <c r="Y409" s="109"/>
      <c r="Z409" s="109"/>
      <c r="AA409" s="109"/>
      <c r="AB409" s="109"/>
      <c r="AC409" s="109"/>
      <c r="AD409" s="109"/>
      <c r="AE409" s="109"/>
      <c r="AF409" s="109"/>
      <c r="AG409" s="109"/>
      <c r="AH409" s="109"/>
      <c r="AI409" s="109"/>
      <c r="AJ409" s="109"/>
      <c r="AK409" s="109"/>
      <c r="AL409" s="109"/>
      <c r="AM409" s="109"/>
      <c r="AN409" s="109"/>
      <c r="AO409" s="109"/>
      <c r="AP409" s="109"/>
      <c r="AQ409" s="109"/>
      <c r="AR409" s="109"/>
      <c r="AS409" s="109"/>
      <c r="AT409" s="109"/>
      <c r="AU409" s="109"/>
      <c r="AV409" s="109"/>
      <c r="AW409" s="109"/>
      <c r="AX409" s="109"/>
      <c r="AY409" s="109"/>
      <c r="AZ409" s="109"/>
      <c r="BA409" s="109"/>
      <c r="BB409" s="109"/>
      <c r="BC409" s="109"/>
      <c r="BD409" s="109"/>
      <c r="BE409" s="109"/>
      <c r="BF409" s="109"/>
      <c r="BG409" s="109"/>
      <c r="BH409" s="109"/>
      <c r="BI409" s="109"/>
      <c r="BJ409" s="109"/>
      <c r="BK409" s="109"/>
      <c r="BL409" s="109"/>
      <c r="BM409" s="109"/>
      <c r="BN409" s="109"/>
      <c r="BO409" s="109"/>
      <c r="BP409" s="109"/>
      <c r="BQ409" s="109"/>
      <c r="BR409" s="109"/>
      <c r="BS409" s="109"/>
      <c r="BT409" s="109"/>
      <c r="BU409" s="109"/>
    </row>
    <row r="410" ht="15.75" customHeight="1">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10"/>
      <c r="X410" s="109"/>
      <c r="Y410" s="109"/>
      <c r="Z410" s="109"/>
      <c r="AA410" s="109"/>
      <c r="AB410" s="109"/>
      <c r="AC410" s="109"/>
      <c r="AD410" s="109"/>
      <c r="AE410" s="109"/>
      <c r="AF410" s="109"/>
      <c r="AG410" s="109"/>
      <c r="AH410" s="109"/>
      <c r="AI410" s="109"/>
      <c r="AJ410" s="109"/>
      <c r="AK410" s="109"/>
      <c r="AL410" s="109"/>
      <c r="AM410" s="109"/>
      <c r="AN410" s="109"/>
      <c r="AO410" s="109"/>
      <c r="AP410" s="109"/>
      <c r="AQ410" s="109"/>
      <c r="AR410" s="109"/>
      <c r="AS410" s="109"/>
      <c r="AT410" s="109"/>
      <c r="AU410" s="109"/>
      <c r="AV410" s="109"/>
      <c r="AW410" s="109"/>
      <c r="AX410" s="109"/>
      <c r="AY410" s="109"/>
      <c r="AZ410" s="109"/>
      <c r="BA410" s="109"/>
      <c r="BB410" s="109"/>
      <c r="BC410" s="109"/>
      <c r="BD410" s="109"/>
      <c r="BE410" s="109"/>
      <c r="BF410" s="109"/>
      <c r="BG410" s="109"/>
      <c r="BH410" s="109"/>
      <c r="BI410" s="109"/>
      <c r="BJ410" s="109"/>
      <c r="BK410" s="109"/>
      <c r="BL410" s="109"/>
      <c r="BM410" s="109"/>
      <c r="BN410" s="109"/>
      <c r="BO410" s="109"/>
      <c r="BP410" s="109"/>
      <c r="BQ410" s="109"/>
      <c r="BR410" s="109"/>
      <c r="BS410" s="109"/>
      <c r="BT410" s="109"/>
      <c r="BU410" s="109"/>
    </row>
    <row r="411" ht="15.75" customHeight="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10"/>
      <c r="X411" s="109"/>
      <c r="Y411" s="109"/>
      <c r="Z411" s="109"/>
      <c r="AA411" s="109"/>
      <c r="AB411" s="109"/>
      <c r="AC411" s="109"/>
      <c r="AD411" s="109"/>
      <c r="AE411" s="109"/>
      <c r="AF411" s="109"/>
      <c r="AG411" s="109"/>
      <c r="AH411" s="109"/>
      <c r="AI411" s="109"/>
      <c r="AJ411" s="109"/>
      <c r="AK411" s="109"/>
      <c r="AL411" s="109"/>
      <c r="AM411" s="109"/>
      <c r="AN411" s="109"/>
      <c r="AO411" s="109"/>
      <c r="AP411" s="109"/>
      <c r="AQ411" s="109"/>
      <c r="AR411" s="109"/>
      <c r="AS411" s="109"/>
      <c r="AT411" s="109"/>
      <c r="AU411" s="109"/>
      <c r="AV411" s="109"/>
      <c r="AW411" s="109"/>
      <c r="AX411" s="109"/>
      <c r="AY411" s="109"/>
      <c r="AZ411" s="109"/>
      <c r="BA411" s="109"/>
      <c r="BB411" s="109"/>
      <c r="BC411" s="109"/>
      <c r="BD411" s="109"/>
      <c r="BE411" s="109"/>
      <c r="BF411" s="109"/>
      <c r="BG411" s="109"/>
      <c r="BH411" s="109"/>
      <c r="BI411" s="109"/>
      <c r="BJ411" s="109"/>
      <c r="BK411" s="109"/>
      <c r="BL411" s="109"/>
      <c r="BM411" s="109"/>
      <c r="BN411" s="109"/>
      <c r="BO411" s="109"/>
      <c r="BP411" s="109"/>
      <c r="BQ411" s="109"/>
      <c r="BR411" s="109"/>
      <c r="BS411" s="109"/>
      <c r="BT411" s="109"/>
      <c r="BU411" s="109"/>
    </row>
    <row r="412" ht="15.75" customHeight="1">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10"/>
      <c r="X412" s="109"/>
      <c r="Y412" s="109"/>
      <c r="Z412" s="109"/>
      <c r="AA412" s="109"/>
      <c r="AB412" s="109"/>
      <c r="AC412" s="109"/>
      <c r="AD412" s="109"/>
      <c r="AE412" s="109"/>
      <c r="AF412" s="109"/>
      <c r="AG412" s="109"/>
      <c r="AH412" s="109"/>
      <c r="AI412" s="109"/>
      <c r="AJ412" s="109"/>
      <c r="AK412" s="109"/>
      <c r="AL412" s="109"/>
      <c r="AM412" s="109"/>
      <c r="AN412" s="109"/>
      <c r="AO412" s="109"/>
      <c r="AP412" s="109"/>
      <c r="AQ412" s="109"/>
      <c r="AR412" s="109"/>
      <c r="AS412" s="109"/>
      <c r="AT412" s="109"/>
      <c r="AU412" s="109"/>
      <c r="AV412" s="109"/>
      <c r="AW412" s="109"/>
      <c r="AX412" s="109"/>
      <c r="AY412" s="109"/>
      <c r="AZ412" s="109"/>
      <c r="BA412" s="109"/>
      <c r="BB412" s="109"/>
      <c r="BC412" s="109"/>
      <c r="BD412" s="109"/>
      <c r="BE412" s="109"/>
      <c r="BF412" s="109"/>
      <c r="BG412" s="109"/>
      <c r="BH412" s="109"/>
      <c r="BI412" s="109"/>
      <c r="BJ412" s="109"/>
      <c r="BK412" s="109"/>
      <c r="BL412" s="109"/>
      <c r="BM412" s="109"/>
      <c r="BN412" s="109"/>
      <c r="BO412" s="109"/>
      <c r="BP412" s="109"/>
      <c r="BQ412" s="109"/>
      <c r="BR412" s="109"/>
      <c r="BS412" s="109"/>
      <c r="BT412" s="109"/>
      <c r="BU412" s="109"/>
    </row>
    <row r="413" ht="15.75" customHeight="1">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10"/>
      <c r="X413" s="109"/>
      <c r="Y413" s="109"/>
      <c r="Z413" s="109"/>
      <c r="AA413" s="109"/>
      <c r="AB413" s="109"/>
      <c r="AC413" s="109"/>
      <c r="AD413" s="109"/>
      <c r="AE413" s="109"/>
      <c r="AF413" s="109"/>
      <c r="AG413" s="109"/>
      <c r="AH413" s="109"/>
      <c r="AI413" s="109"/>
      <c r="AJ413" s="109"/>
      <c r="AK413" s="109"/>
      <c r="AL413" s="109"/>
      <c r="AM413" s="109"/>
      <c r="AN413" s="109"/>
      <c r="AO413" s="109"/>
      <c r="AP413" s="109"/>
      <c r="AQ413" s="109"/>
      <c r="AR413" s="109"/>
      <c r="AS413" s="109"/>
      <c r="AT413" s="109"/>
      <c r="AU413" s="109"/>
      <c r="AV413" s="109"/>
      <c r="AW413" s="109"/>
      <c r="AX413" s="109"/>
      <c r="AY413" s="109"/>
      <c r="AZ413" s="109"/>
      <c r="BA413" s="109"/>
      <c r="BB413" s="109"/>
      <c r="BC413" s="109"/>
      <c r="BD413" s="109"/>
      <c r="BE413" s="109"/>
      <c r="BF413" s="109"/>
      <c r="BG413" s="109"/>
      <c r="BH413" s="109"/>
      <c r="BI413" s="109"/>
      <c r="BJ413" s="109"/>
      <c r="BK413" s="109"/>
      <c r="BL413" s="109"/>
      <c r="BM413" s="109"/>
      <c r="BN413" s="109"/>
      <c r="BO413" s="109"/>
      <c r="BP413" s="109"/>
      <c r="BQ413" s="109"/>
      <c r="BR413" s="109"/>
      <c r="BS413" s="109"/>
      <c r="BT413" s="109"/>
      <c r="BU413" s="109"/>
    </row>
    <row r="414" ht="15.75" customHeight="1">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10"/>
      <c r="X414" s="109"/>
      <c r="Y414" s="109"/>
      <c r="Z414" s="109"/>
      <c r="AA414" s="109"/>
      <c r="AB414" s="109"/>
      <c r="AC414" s="109"/>
      <c r="AD414" s="109"/>
      <c r="AE414" s="109"/>
      <c r="AF414" s="109"/>
      <c r="AG414" s="109"/>
      <c r="AH414" s="109"/>
      <c r="AI414" s="109"/>
      <c r="AJ414" s="109"/>
      <c r="AK414" s="109"/>
      <c r="AL414" s="109"/>
      <c r="AM414" s="109"/>
      <c r="AN414" s="109"/>
      <c r="AO414" s="109"/>
      <c r="AP414" s="109"/>
      <c r="AQ414" s="109"/>
      <c r="AR414" s="109"/>
      <c r="AS414" s="109"/>
      <c r="AT414" s="109"/>
      <c r="AU414" s="109"/>
      <c r="AV414" s="109"/>
      <c r="AW414" s="109"/>
      <c r="AX414" s="109"/>
      <c r="AY414" s="109"/>
      <c r="AZ414" s="109"/>
      <c r="BA414" s="109"/>
      <c r="BB414" s="109"/>
      <c r="BC414" s="109"/>
      <c r="BD414" s="109"/>
      <c r="BE414" s="109"/>
      <c r="BF414" s="109"/>
      <c r="BG414" s="109"/>
      <c r="BH414" s="109"/>
      <c r="BI414" s="109"/>
      <c r="BJ414" s="109"/>
      <c r="BK414" s="109"/>
      <c r="BL414" s="109"/>
      <c r="BM414" s="109"/>
      <c r="BN414" s="109"/>
      <c r="BO414" s="109"/>
      <c r="BP414" s="109"/>
      <c r="BQ414" s="109"/>
      <c r="BR414" s="109"/>
      <c r="BS414" s="109"/>
      <c r="BT414" s="109"/>
      <c r="BU414" s="109"/>
    </row>
    <row r="415" ht="15.75" customHeight="1">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10"/>
      <c r="X415" s="109"/>
      <c r="Y415" s="109"/>
      <c r="Z415" s="109"/>
      <c r="AA415" s="109"/>
      <c r="AB415" s="109"/>
      <c r="AC415" s="109"/>
      <c r="AD415" s="109"/>
      <c r="AE415" s="109"/>
      <c r="AF415" s="109"/>
      <c r="AG415" s="109"/>
      <c r="AH415" s="109"/>
      <c r="AI415" s="109"/>
      <c r="AJ415" s="109"/>
      <c r="AK415" s="109"/>
      <c r="AL415" s="109"/>
      <c r="AM415" s="109"/>
      <c r="AN415" s="109"/>
      <c r="AO415" s="109"/>
      <c r="AP415" s="109"/>
      <c r="AQ415" s="109"/>
      <c r="AR415" s="109"/>
      <c r="AS415" s="109"/>
      <c r="AT415" s="109"/>
      <c r="AU415" s="109"/>
      <c r="AV415" s="109"/>
      <c r="AW415" s="109"/>
      <c r="AX415" s="109"/>
      <c r="AY415" s="109"/>
      <c r="AZ415" s="109"/>
      <c r="BA415" s="109"/>
      <c r="BB415" s="109"/>
      <c r="BC415" s="109"/>
      <c r="BD415" s="109"/>
      <c r="BE415" s="109"/>
      <c r="BF415" s="109"/>
      <c r="BG415" s="109"/>
      <c r="BH415" s="109"/>
      <c r="BI415" s="109"/>
      <c r="BJ415" s="109"/>
      <c r="BK415" s="109"/>
      <c r="BL415" s="109"/>
      <c r="BM415" s="109"/>
      <c r="BN415" s="109"/>
      <c r="BO415" s="109"/>
      <c r="BP415" s="109"/>
      <c r="BQ415" s="109"/>
      <c r="BR415" s="109"/>
      <c r="BS415" s="109"/>
      <c r="BT415" s="109"/>
      <c r="BU415" s="109"/>
    </row>
    <row r="416" ht="15.75" customHeight="1">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10"/>
      <c r="X416" s="109"/>
      <c r="Y416" s="109"/>
      <c r="Z416" s="109"/>
      <c r="AA416" s="109"/>
      <c r="AB416" s="109"/>
      <c r="AC416" s="109"/>
      <c r="AD416" s="109"/>
      <c r="AE416" s="109"/>
      <c r="AF416" s="109"/>
      <c r="AG416" s="109"/>
      <c r="AH416" s="109"/>
      <c r="AI416" s="109"/>
      <c r="AJ416" s="109"/>
      <c r="AK416" s="109"/>
      <c r="AL416" s="109"/>
      <c r="AM416" s="109"/>
      <c r="AN416" s="109"/>
      <c r="AO416" s="109"/>
      <c r="AP416" s="109"/>
      <c r="AQ416" s="109"/>
      <c r="AR416" s="109"/>
      <c r="AS416" s="109"/>
      <c r="AT416" s="109"/>
      <c r="AU416" s="109"/>
      <c r="AV416" s="109"/>
      <c r="AW416" s="109"/>
      <c r="AX416" s="109"/>
      <c r="AY416" s="109"/>
      <c r="AZ416" s="109"/>
      <c r="BA416" s="109"/>
      <c r="BB416" s="109"/>
      <c r="BC416" s="109"/>
      <c r="BD416" s="109"/>
      <c r="BE416" s="109"/>
      <c r="BF416" s="109"/>
      <c r="BG416" s="109"/>
      <c r="BH416" s="109"/>
      <c r="BI416" s="109"/>
      <c r="BJ416" s="109"/>
      <c r="BK416" s="109"/>
      <c r="BL416" s="109"/>
      <c r="BM416" s="109"/>
      <c r="BN416" s="109"/>
      <c r="BO416" s="109"/>
      <c r="BP416" s="109"/>
      <c r="BQ416" s="109"/>
      <c r="BR416" s="109"/>
      <c r="BS416" s="109"/>
      <c r="BT416" s="109"/>
      <c r="BU416" s="109"/>
    </row>
    <row r="417" ht="15.75" customHeight="1">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10"/>
      <c r="X417" s="109"/>
      <c r="Y417" s="109"/>
      <c r="Z417" s="109"/>
      <c r="AA417" s="109"/>
      <c r="AB417" s="109"/>
      <c r="AC417" s="109"/>
      <c r="AD417" s="109"/>
      <c r="AE417" s="109"/>
      <c r="AF417" s="109"/>
      <c r="AG417" s="109"/>
      <c r="AH417" s="109"/>
      <c r="AI417" s="109"/>
      <c r="AJ417" s="109"/>
      <c r="AK417" s="109"/>
      <c r="AL417" s="109"/>
      <c r="AM417" s="109"/>
      <c r="AN417" s="109"/>
      <c r="AO417" s="109"/>
      <c r="AP417" s="109"/>
      <c r="AQ417" s="109"/>
      <c r="AR417" s="109"/>
      <c r="AS417" s="109"/>
      <c r="AT417" s="109"/>
      <c r="AU417" s="109"/>
      <c r="AV417" s="109"/>
      <c r="AW417" s="109"/>
      <c r="AX417" s="109"/>
      <c r="AY417" s="109"/>
      <c r="AZ417" s="109"/>
      <c r="BA417" s="109"/>
      <c r="BB417" s="109"/>
      <c r="BC417" s="109"/>
      <c r="BD417" s="109"/>
      <c r="BE417" s="109"/>
      <c r="BF417" s="109"/>
      <c r="BG417" s="109"/>
      <c r="BH417" s="109"/>
      <c r="BI417" s="109"/>
      <c r="BJ417" s="109"/>
      <c r="BK417" s="109"/>
      <c r="BL417" s="109"/>
      <c r="BM417" s="109"/>
      <c r="BN417" s="109"/>
      <c r="BO417" s="109"/>
      <c r="BP417" s="109"/>
      <c r="BQ417" s="109"/>
      <c r="BR417" s="109"/>
      <c r="BS417" s="109"/>
      <c r="BT417" s="109"/>
      <c r="BU417" s="109"/>
    </row>
    <row r="418" ht="15.75" customHeight="1">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10"/>
      <c r="X418" s="109"/>
      <c r="Y418" s="109"/>
      <c r="Z418" s="109"/>
      <c r="AA418" s="109"/>
      <c r="AB418" s="109"/>
      <c r="AC418" s="109"/>
      <c r="AD418" s="109"/>
      <c r="AE418" s="109"/>
      <c r="AF418" s="109"/>
      <c r="AG418" s="109"/>
      <c r="AH418" s="109"/>
      <c r="AI418" s="109"/>
      <c r="AJ418" s="109"/>
      <c r="AK418" s="109"/>
      <c r="AL418" s="109"/>
      <c r="AM418" s="109"/>
      <c r="AN418" s="109"/>
      <c r="AO418" s="109"/>
      <c r="AP418" s="109"/>
      <c r="AQ418" s="109"/>
      <c r="AR418" s="109"/>
      <c r="AS418" s="109"/>
      <c r="AT418" s="109"/>
      <c r="AU418" s="109"/>
      <c r="AV418" s="109"/>
      <c r="AW418" s="109"/>
      <c r="AX418" s="109"/>
      <c r="AY418" s="109"/>
      <c r="AZ418" s="109"/>
      <c r="BA418" s="109"/>
      <c r="BB418" s="109"/>
      <c r="BC418" s="109"/>
      <c r="BD418" s="109"/>
      <c r="BE418" s="109"/>
      <c r="BF418" s="109"/>
      <c r="BG418" s="109"/>
      <c r="BH418" s="109"/>
      <c r="BI418" s="109"/>
      <c r="BJ418" s="109"/>
      <c r="BK418" s="109"/>
      <c r="BL418" s="109"/>
      <c r="BM418" s="109"/>
      <c r="BN418" s="109"/>
      <c r="BO418" s="109"/>
      <c r="BP418" s="109"/>
      <c r="BQ418" s="109"/>
      <c r="BR418" s="109"/>
      <c r="BS418" s="109"/>
      <c r="BT418" s="109"/>
      <c r="BU418" s="109"/>
    </row>
    <row r="419" ht="15.75" customHeight="1">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10"/>
      <c r="X419" s="109"/>
      <c r="Y419" s="109"/>
      <c r="Z419" s="109"/>
      <c r="AA419" s="109"/>
      <c r="AB419" s="109"/>
      <c r="AC419" s="109"/>
      <c r="AD419" s="109"/>
      <c r="AE419" s="109"/>
      <c r="AF419" s="109"/>
      <c r="AG419" s="109"/>
      <c r="AH419" s="109"/>
      <c r="AI419" s="109"/>
      <c r="AJ419" s="109"/>
      <c r="AK419" s="109"/>
      <c r="AL419" s="109"/>
      <c r="AM419" s="109"/>
      <c r="AN419" s="109"/>
      <c r="AO419" s="109"/>
      <c r="AP419" s="109"/>
      <c r="AQ419" s="109"/>
      <c r="AR419" s="109"/>
      <c r="AS419" s="109"/>
      <c r="AT419" s="109"/>
      <c r="AU419" s="109"/>
      <c r="AV419" s="109"/>
      <c r="AW419" s="109"/>
      <c r="AX419" s="109"/>
      <c r="AY419" s="109"/>
      <c r="AZ419" s="109"/>
      <c r="BA419" s="109"/>
      <c r="BB419" s="109"/>
      <c r="BC419" s="109"/>
      <c r="BD419" s="109"/>
      <c r="BE419" s="109"/>
      <c r="BF419" s="109"/>
      <c r="BG419" s="109"/>
      <c r="BH419" s="109"/>
      <c r="BI419" s="109"/>
      <c r="BJ419" s="109"/>
      <c r="BK419" s="109"/>
      <c r="BL419" s="109"/>
      <c r="BM419" s="109"/>
      <c r="BN419" s="109"/>
      <c r="BO419" s="109"/>
      <c r="BP419" s="109"/>
      <c r="BQ419" s="109"/>
      <c r="BR419" s="109"/>
      <c r="BS419" s="109"/>
      <c r="BT419" s="109"/>
      <c r="BU419" s="109"/>
    </row>
    <row r="420" ht="15.75" customHeight="1">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10"/>
      <c r="X420" s="109"/>
      <c r="Y420" s="109"/>
      <c r="Z420" s="109"/>
      <c r="AA420" s="109"/>
      <c r="AB420" s="109"/>
      <c r="AC420" s="109"/>
      <c r="AD420" s="109"/>
      <c r="AE420" s="109"/>
      <c r="AF420" s="109"/>
      <c r="AG420" s="109"/>
      <c r="AH420" s="109"/>
      <c r="AI420" s="109"/>
      <c r="AJ420" s="109"/>
      <c r="AK420" s="109"/>
      <c r="AL420" s="109"/>
      <c r="AM420" s="109"/>
      <c r="AN420" s="109"/>
      <c r="AO420" s="109"/>
      <c r="AP420" s="109"/>
      <c r="AQ420" s="109"/>
      <c r="AR420" s="109"/>
      <c r="AS420" s="109"/>
      <c r="AT420" s="109"/>
      <c r="AU420" s="109"/>
      <c r="AV420" s="109"/>
      <c r="AW420" s="109"/>
      <c r="AX420" s="109"/>
      <c r="AY420" s="109"/>
      <c r="AZ420" s="109"/>
      <c r="BA420" s="109"/>
      <c r="BB420" s="109"/>
      <c r="BC420" s="109"/>
      <c r="BD420" s="109"/>
      <c r="BE420" s="109"/>
      <c r="BF420" s="109"/>
      <c r="BG420" s="109"/>
      <c r="BH420" s="109"/>
      <c r="BI420" s="109"/>
      <c r="BJ420" s="109"/>
      <c r="BK420" s="109"/>
      <c r="BL420" s="109"/>
      <c r="BM420" s="109"/>
      <c r="BN420" s="109"/>
      <c r="BO420" s="109"/>
      <c r="BP420" s="109"/>
      <c r="BQ420" s="109"/>
      <c r="BR420" s="109"/>
      <c r="BS420" s="109"/>
      <c r="BT420" s="109"/>
      <c r="BU420" s="109"/>
    </row>
    <row r="421" ht="15.75" customHeight="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10"/>
      <c r="X421" s="109"/>
      <c r="Y421" s="109"/>
      <c r="Z421" s="109"/>
      <c r="AA421" s="109"/>
      <c r="AB421" s="109"/>
      <c r="AC421" s="109"/>
      <c r="AD421" s="109"/>
      <c r="AE421" s="109"/>
      <c r="AF421" s="109"/>
      <c r="AG421" s="109"/>
      <c r="AH421" s="109"/>
      <c r="AI421" s="109"/>
      <c r="AJ421" s="109"/>
      <c r="AK421" s="109"/>
      <c r="AL421" s="109"/>
      <c r="AM421" s="109"/>
      <c r="AN421" s="109"/>
      <c r="AO421" s="109"/>
      <c r="AP421" s="109"/>
      <c r="AQ421" s="109"/>
      <c r="AR421" s="109"/>
      <c r="AS421" s="109"/>
      <c r="AT421" s="109"/>
      <c r="AU421" s="109"/>
      <c r="AV421" s="109"/>
      <c r="AW421" s="109"/>
      <c r="AX421" s="109"/>
      <c r="AY421" s="109"/>
      <c r="AZ421" s="109"/>
      <c r="BA421" s="109"/>
      <c r="BB421" s="109"/>
      <c r="BC421" s="109"/>
      <c r="BD421" s="109"/>
      <c r="BE421" s="109"/>
      <c r="BF421" s="109"/>
      <c r="BG421" s="109"/>
      <c r="BH421" s="109"/>
      <c r="BI421" s="109"/>
      <c r="BJ421" s="109"/>
      <c r="BK421" s="109"/>
      <c r="BL421" s="109"/>
      <c r="BM421" s="109"/>
      <c r="BN421" s="109"/>
      <c r="BO421" s="109"/>
      <c r="BP421" s="109"/>
      <c r="BQ421" s="109"/>
      <c r="BR421" s="109"/>
      <c r="BS421" s="109"/>
      <c r="BT421" s="109"/>
      <c r="BU421" s="109"/>
    </row>
    <row r="422" ht="15.75" customHeight="1">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10"/>
      <c r="X422" s="109"/>
      <c r="Y422" s="109"/>
      <c r="Z422" s="109"/>
      <c r="AA422" s="109"/>
      <c r="AB422" s="109"/>
      <c r="AC422" s="109"/>
      <c r="AD422" s="109"/>
      <c r="AE422" s="109"/>
      <c r="AF422" s="109"/>
      <c r="AG422" s="109"/>
      <c r="AH422" s="109"/>
      <c r="AI422" s="109"/>
      <c r="AJ422" s="109"/>
      <c r="AK422" s="109"/>
      <c r="AL422" s="109"/>
      <c r="AM422" s="109"/>
      <c r="AN422" s="109"/>
      <c r="AO422" s="109"/>
      <c r="AP422" s="109"/>
      <c r="AQ422" s="109"/>
      <c r="AR422" s="109"/>
      <c r="AS422" s="109"/>
      <c r="AT422" s="109"/>
      <c r="AU422" s="109"/>
      <c r="AV422" s="109"/>
      <c r="AW422" s="109"/>
      <c r="AX422" s="109"/>
      <c r="AY422" s="109"/>
      <c r="AZ422" s="109"/>
      <c r="BA422" s="109"/>
      <c r="BB422" s="109"/>
      <c r="BC422" s="109"/>
      <c r="BD422" s="109"/>
      <c r="BE422" s="109"/>
      <c r="BF422" s="109"/>
      <c r="BG422" s="109"/>
      <c r="BH422" s="109"/>
      <c r="BI422" s="109"/>
      <c r="BJ422" s="109"/>
      <c r="BK422" s="109"/>
      <c r="BL422" s="109"/>
      <c r="BM422" s="109"/>
      <c r="BN422" s="109"/>
      <c r="BO422" s="109"/>
      <c r="BP422" s="109"/>
      <c r="BQ422" s="109"/>
      <c r="BR422" s="109"/>
      <c r="BS422" s="109"/>
      <c r="BT422" s="109"/>
      <c r="BU422" s="109"/>
    </row>
    <row r="423" ht="15.75" customHeight="1">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10"/>
      <c r="X423" s="109"/>
      <c r="Y423" s="109"/>
      <c r="Z423" s="109"/>
      <c r="AA423" s="109"/>
      <c r="AB423" s="109"/>
      <c r="AC423" s="109"/>
      <c r="AD423" s="109"/>
      <c r="AE423" s="109"/>
      <c r="AF423" s="109"/>
      <c r="AG423" s="109"/>
      <c r="AH423" s="109"/>
      <c r="AI423" s="109"/>
      <c r="AJ423" s="109"/>
      <c r="AK423" s="109"/>
      <c r="AL423" s="109"/>
      <c r="AM423" s="109"/>
      <c r="AN423" s="109"/>
      <c r="AO423" s="109"/>
      <c r="AP423" s="109"/>
      <c r="AQ423" s="109"/>
      <c r="AR423" s="109"/>
      <c r="AS423" s="109"/>
      <c r="AT423" s="109"/>
      <c r="AU423" s="109"/>
      <c r="AV423" s="109"/>
      <c r="AW423" s="109"/>
      <c r="AX423" s="109"/>
      <c r="AY423" s="109"/>
      <c r="AZ423" s="109"/>
      <c r="BA423" s="109"/>
      <c r="BB423" s="109"/>
      <c r="BC423" s="109"/>
      <c r="BD423" s="109"/>
      <c r="BE423" s="109"/>
      <c r="BF423" s="109"/>
      <c r="BG423" s="109"/>
      <c r="BH423" s="109"/>
      <c r="BI423" s="109"/>
      <c r="BJ423" s="109"/>
      <c r="BK423" s="109"/>
      <c r="BL423" s="109"/>
      <c r="BM423" s="109"/>
      <c r="BN423" s="109"/>
      <c r="BO423" s="109"/>
      <c r="BP423" s="109"/>
      <c r="BQ423" s="109"/>
      <c r="BR423" s="109"/>
      <c r="BS423" s="109"/>
      <c r="BT423" s="109"/>
      <c r="BU423" s="109"/>
    </row>
    <row r="424" ht="15.75" customHeight="1">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10"/>
      <c r="X424" s="109"/>
      <c r="Y424" s="109"/>
      <c r="Z424" s="109"/>
      <c r="AA424" s="109"/>
      <c r="AB424" s="109"/>
      <c r="AC424" s="109"/>
      <c r="AD424" s="109"/>
      <c r="AE424" s="109"/>
      <c r="AF424" s="109"/>
      <c r="AG424" s="109"/>
      <c r="AH424" s="109"/>
      <c r="AI424" s="109"/>
      <c r="AJ424" s="109"/>
      <c r="AK424" s="109"/>
      <c r="AL424" s="109"/>
      <c r="AM424" s="109"/>
      <c r="AN424" s="109"/>
      <c r="AO424" s="109"/>
      <c r="AP424" s="109"/>
      <c r="AQ424" s="109"/>
      <c r="AR424" s="109"/>
      <c r="AS424" s="109"/>
      <c r="AT424" s="109"/>
      <c r="AU424" s="109"/>
      <c r="AV424" s="109"/>
      <c r="AW424" s="109"/>
      <c r="AX424" s="109"/>
      <c r="AY424" s="109"/>
      <c r="AZ424" s="109"/>
      <c r="BA424" s="109"/>
      <c r="BB424" s="109"/>
      <c r="BC424" s="109"/>
      <c r="BD424" s="109"/>
      <c r="BE424" s="109"/>
      <c r="BF424" s="109"/>
      <c r="BG424" s="109"/>
      <c r="BH424" s="109"/>
      <c r="BI424" s="109"/>
      <c r="BJ424" s="109"/>
      <c r="BK424" s="109"/>
      <c r="BL424" s="109"/>
      <c r="BM424" s="109"/>
      <c r="BN424" s="109"/>
      <c r="BO424" s="109"/>
      <c r="BP424" s="109"/>
      <c r="BQ424" s="109"/>
      <c r="BR424" s="109"/>
      <c r="BS424" s="109"/>
      <c r="BT424" s="109"/>
      <c r="BU424" s="109"/>
    </row>
    <row r="425" ht="15.75" customHeight="1">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10"/>
      <c r="X425" s="109"/>
      <c r="Y425" s="109"/>
      <c r="Z425" s="109"/>
      <c r="AA425" s="109"/>
      <c r="AB425" s="109"/>
      <c r="AC425" s="109"/>
      <c r="AD425" s="109"/>
      <c r="AE425" s="109"/>
      <c r="AF425" s="109"/>
      <c r="AG425" s="109"/>
      <c r="AH425" s="109"/>
      <c r="AI425" s="109"/>
      <c r="AJ425" s="109"/>
      <c r="AK425" s="109"/>
      <c r="AL425" s="109"/>
      <c r="AM425" s="109"/>
      <c r="AN425" s="109"/>
      <c r="AO425" s="109"/>
      <c r="AP425" s="109"/>
      <c r="AQ425" s="109"/>
      <c r="AR425" s="109"/>
      <c r="AS425" s="109"/>
      <c r="AT425" s="109"/>
      <c r="AU425" s="109"/>
      <c r="AV425" s="109"/>
      <c r="AW425" s="109"/>
      <c r="AX425" s="109"/>
      <c r="AY425" s="109"/>
      <c r="AZ425" s="109"/>
      <c r="BA425" s="109"/>
      <c r="BB425" s="109"/>
      <c r="BC425" s="109"/>
      <c r="BD425" s="109"/>
      <c r="BE425" s="109"/>
      <c r="BF425" s="109"/>
      <c r="BG425" s="109"/>
      <c r="BH425" s="109"/>
      <c r="BI425" s="109"/>
      <c r="BJ425" s="109"/>
      <c r="BK425" s="109"/>
      <c r="BL425" s="109"/>
      <c r="BM425" s="109"/>
      <c r="BN425" s="109"/>
      <c r="BO425" s="109"/>
      <c r="BP425" s="109"/>
      <c r="BQ425" s="109"/>
      <c r="BR425" s="109"/>
      <c r="BS425" s="109"/>
      <c r="BT425" s="109"/>
      <c r="BU425" s="109"/>
    </row>
    <row r="426" ht="15.75" customHeight="1">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10"/>
      <c r="X426" s="109"/>
      <c r="Y426" s="109"/>
      <c r="Z426" s="109"/>
      <c r="AA426" s="109"/>
      <c r="AB426" s="109"/>
      <c r="AC426" s="109"/>
      <c r="AD426" s="109"/>
      <c r="AE426" s="109"/>
      <c r="AF426" s="109"/>
      <c r="AG426" s="109"/>
      <c r="AH426" s="109"/>
      <c r="AI426" s="109"/>
      <c r="AJ426" s="109"/>
      <c r="AK426" s="109"/>
      <c r="AL426" s="109"/>
      <c r="AM426" s="109"/>
      <c r="AN426" s="109"/>
      <c r="AO426" s="109"/>
      <c r="AP426" s="109"/>
      <c r="AQ426" s="109"/>
      <c r="AR426" s="109"/>
      <c r="AS426" s="109"/>
      <c r="AT426" s="109"/>
      <c r="AU426" s="109"/>
      <c r="AV426" s="109"/>
      <c r="AW426" s="109"/>
      <c r="AX426" s="109"/>
      <c r="AY426" s="109"/>
      <c r="AZ426" s="109"/>
      <c r="BA426" s="109"/>
      <c r="BB426" s="109"/>
      <c r="BC426" s="109"/>
      <c r="BD426" s="109"/>
      <c r="BE426" s="109"/>
      <c r="BF426" s="109"/>
      <c r="BG426" s="109"/>
      <c r="BH426" s="109"/>
      <c r="BI426" s="109"/>
      <c r="BJ426" s="109"/>
      <c r="BK426" s="109"/>
      <c r="BL426" s="109"/>
      <c r="BM426" s="109"/>
      <c r="BN426" s="109"/>
      <c r="BO426" s="109"/>
      <c r="BP426" s="109"/>
      <c r="BQ426" s="109"/>
      <c r="BR426" s="109"/>
      <c r="BS426" s="109"/>
      <c r="BT426" s="109"/>
      <c r="BU426" s="109"/>
    </row>
    <row r="427" ht="15.75" customHeight="1">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10"/>
      <c r="X427" s="109"/>
      <c r="Y427" s="109"/>
      <c r="Z427" s="109"/>
      <c r="AA427" s="109"/>
      <c r="AB427" s="109"/>
      <c r="AC427" s="109"/>
      <c r="AD427" s="109"/>
      <c r="AE427" s="109"/>
      <c r="AF427" s="109"/>
      <c r="AG427" s="109"/>
      <c r="AH427" s="109"/>
      <c r="AI427" s="109"/>
      <c r="AJ427" s="109"/>
      <c r="AK427" s="109"/>
      <c r="AL427" s="109"/>
      <c r="AM427" s="109"/>
      <c r="AN427" s="109"/>
      <c r="AO427" s="109"/>
      <c r="AP427" s="109"/>
      <c r="AQ427" s="109"/>
      <c r="AR427" s="109"/>
      <c r="AS427" s="109"/>
      <c r="AT427" s="109"/>
      <c r="AU427" s="109"/>
      <c r="AV427" s="109"/>
      <c r="AW427" s="109"/>
      <c r="AX427" s="109"/>
      <c r="AY427" s="109"/>
      <c r="AZ427" s="109"/>
      <c r="BA427" s="109"/>
      <c r="BB427" s="109"/>
      <c r="BC427" s="109"/>
      <c r="BD427" s="109"/>
      <c r="BE427" s="109"/>
      <c r="BF427" s="109"/>
      <c r="BG427" s="109"/>
      <c r="BH427" s="109"/>
      <c r="BI427" s="109"/>
      <c r="BJ427" s="109"/>
      <c r="BK427" s="109"/>
      <c r="BL427" s="109"/>
      <c r="BM427" s="109"/>
      <c r="BN427" s="109"/>
      <c r="BO427" s="109"/>
      <c r="BP427" s="109"/>
      <c r="BQ427" s="109"/>
      <c r="BR427" s="109"/>
      <c r="BS427" s="109"/>
      <c r="BT427" s="109"/>
      <c r="BU427" s="109"/>
    </row>
    <row r="428" ht="15.75" customHeight="1">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10"/>
      <c r="X428" s="109"/>
      <c r="Y428" s="109"/>
      <c r="Z428" s="109"/>
      <c r="AA428" s="109"/>
      <c r="AB428" s="109"/>
      <c r="AC428" s="109"/>
      <c r="AD428" s="109"/>
      <c r="AE428" s="109"/>
      <c r="AF428" s="109"/>
      <c r="AG428" s="109"/>
      <c r="AH428" s="109"/>
      <c r="AI428" s="109"/>
      <c r="AJ428" s="109"/>
      <c r="AK428" s="109"/>
      <c r="AL428" s="109"/>
      <c r="AM428" s="109"/>
      <c r="AN428" s="109"/>
      <c r="AO428" s="109"/>
      <c r="AP428" s="109"/>
      <c r="AQ428" s="109"/>
      <c r="AR428" s="109"/>
      <c r="AS428" s="109"/>
      <c r="AT428" s="109"/>
      <c r="AU428" s="109"/>
      <c r="AV428" s="109"/>
      <c r="AW428" s="109"/>
      <c r="AX428" s="109"/>
      <c r="AY428" s="109"/>
      <c r="AZ428" s="109"/>
      <c r="BA428" s="109"/>
      <c r="BB428" s="109"/>
      <c r="BC428" s="109"/>
      <c r="BD428" s="109"/>
      <c r="BE428" s="109"/>
      <c r="BF428" s="109"/>
      <c r="BG428" s="109"/>
      <c r="BH428" s="109"/>
      <c r="BI428" s="109"/>
      <c r="BJ428" s="109"/>
      <c r="BK428" s="109"/>
      <c r="BL428" s="109"/>
      <c r="BM428" s="109"/>
      <c r="BN428" s="109"/>
      <c r="BO428" s="109"/>
      <c r="BP428" s="109"/>
      <c r="BQ428" s="109"/>
      <c r="BR428" s="109"/>
      <c r="BS428" s="109"/>
      <c r="BT428" s="109"/>
      <c r="BU428" s="109"/>
    </row>
    <row r="429" ht="15.75" customHeight="1">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10"/>
      <c r="X429" s="109"/>
      <c r="Y429" s="109"/>
      <c r="Z429" s="109"/>
      <c r="AA429" s="109"/>
      <c r="AB429" s="109"/>
      <c r="AC429" s="109"/>
      <c r="AD429" s="109"/>
      <c r="AE429" s="109"/>
      <c r="AF429" s="109"/>
      <c r="AG429" s="109"/>
      <c r="AH429" s="109"/>
      <c r="AI429" s="109"/>
      <c r="AJ429" s="109"/>
      <c r="AK429" s="109"/>
      <c r="AL429" s="109"/>
      <c r="AM429" s="109"/>
      <c r="AN429" s="109"/>
      <c r="AO429" s="109"/>
      <c r="AP429" s="109"/>
      <c r="AQ429" s="109"/>
      <c r="AR429" s="109"/>
      <c r="AS429" s="109"/>
      <c r="AT429" s="109"/>
      <c r="AU429" s="109"/>
      <c r="AV429" s="109"/>
      <c r="AW429" s="109"/>
      <c r="AX429" s="109"/>
      <c r="AY429" s="109"/>
      <c r="AZ429" s="109"/>
      <c r="BA429" s="109"/>
      <c r="BB429" s="109"/>
      <c r="BC429" s="109"/>
      <c r="BD429" s="109"/>
      <c r="BE429" s="109"/>
      <c r="BF429" s="109"/>
      <c r="BG429" s="109"/>
      <c r="BH429" s="109"/>
      <c r="BI429" s="109"/>
      <c r="BJ429" s="109"/>
      <c r="BK429" s="109"/>
      <c r="BL429" s="109"/>
      <c r="BM429" s="109"/>
      <c r="BN429" s="109"/>
      <c r="BO429" s="109"/>
      <c r="BP429" s="109"/>
      <c r="BQ429" s="109"/>
      <c r="BR429" s="109"/>
      <c r="BS429" s="109"/>
      <c r="BT429" s="109"/>
      <c r="BU429" s="109"/>
    </row>
    <row r="430" ht="15.75" customHeight="1">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10"/>
      <c r="X430" s="109"/>
      <c r="Y430" s="109"/>
      <c r="Z430" s="109"/>
      <c r="AA430" s="109"/>
      <c r="AB430" s="109"/>
      <c r="AC430" s="109"/>
      <c r="AD430" s="109"/>
      <c r="AE430" s="109"/>
      <c r="AF430" s="109"/>
      <c r="AG430" s="109"/>
      <c r="AH430" s="109"/>
      <c r="AI430" s="109"/>
      <c r="AJ430" s="109"/>
      <c r="AK430" s="109"/>
      <c r="AL430" s="109"/>
      <c r="AM430" s="109"/>
      <c r="AN430" s="109"/>
      <c r="AO430" s="109"/>
      <c r="AP430" s="109"/>
      <c r="AQ430" s="109"/>
      <c r="AR430" s="109"/>
      <c r="AS430" s="109"/>
      <c r="AT430" s="109"/>
      <c r="AU430" s="109"/>
      <c r="AV430" s="109"/>
      <c r="AW430" s="109"/>
      <c r="AX430" s="109"/>
      <c r="AY430" s="109"/>
      <c r="AZ430" s="109"/>
      <c r="BA430" s="109"/>
      <c r="BB430" s="109"/>
      <c r="BC430" s="109"/>
      <c r="BD430" s="109"/>
      <c r="BE430" s="109"/>
      <c r="BF430" s="109"/>
      <c r="BG430" s="109"/>
      <c r="BH430" s="109"/>
      <c r="BI430" s="109"/>
      <c r="BJ430" s="109"/>
      <c r="BK430" s="109"/>
      <c r="BL430" s="109"/>
      <c r="BM430" s="109"/>
      <c r="BN430" s="109"/>
      <c r="BO430" s="109"/>
      <c r="BP430" s="109"/>
      <c r="BQ430" s="109"/>
      <c r="BR430" s="109"/>
      <c r="BS430" s="109"/>
      <c r="BT430" s="109"/>
      <c r="BU430" s="109"/>
    </row>
    <row r="431" ht="15.75" customHeight="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10"/>
      <c r="X431" s="109"/>
      <c r="Y431" s="109"/>
      <c r="Z431" s="109"/>
      <c r="AA431" s="109"/>
      <c r="AB431" s="109"/>
      <c r="AC431" s="109"/>
      <c r="AD431" s="109"/>
      <c r="AE431" s="109"/>
      <c r="AF431" s="109"/>
      <c r="AG431" s="109"/>
      <c r="AH431" s="109"/>
      <c r="AI431" s="109"/>
      <c r="AJ431" s="109"/>
      <c r="AK431" s="109"/>
      <c r="AL431" s="109"/>
      <c r="AM431" s="109"/>
      <c r="AN431" s="109"/>
      <c r="AO431" s="109"/>
      <c r="AP431" s="109"/>
      <c r="AQ431" s="109"/>
      <c r="AR431" s="109"/>
      <c r="AS431" s="109"/>
      <c r="AT431" s="109"/>
      <c r="AU431" s="109"/>
      <c r="AV431" s="109"/>
      <c r="AW431" s="109"/>
      <c r="AX431" s="109"/>
      <c r="AY431" s="109"/>
      <c r="AZ431" s="109"/>
      <c r="BA431" s="109"/>
      <c r="BB431" s="109"/>
      <c r="BC431" s="109"/>
      <c r="BD431" s="109"/>
      <c r="BE431" s="109"/>
      <c r="BF431" s="109"/>
      <c r="BG431" s="109"/>
      <c r="BH431" s="109"/>
      <c r="BI431" s="109"/>
      <c r="BJ431" s="109"/>
      <c r="BK431" s="109"/>
      <c r="BL431" s="109"/>
      <c r="BM431" s="109"/>
      <c r="BN431" s="109"/>
      <c r="BO431" s="109"/>
      <c r="BP431" s="109"/>
      <c r="BQ431" s="109"/>
      <c r="BR431" s="109"/>
      <c r="BS431" s="109"/>
      <c r="BT431" s="109"/>
      <c r="BU431" s="109"/>
    </row>
    <row r="432" ht="15.75" customHeight="1">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10"/>
      <c r="X432" s="109"/>
      <c r="Y432" s="109"/>
      <c r="Z432" s="109"/>
      <c r="AA432" s="109"/>
      <c r="AB432" s="109"/>
      <c r="AC432" s="109"/>
      <c r="AD432" s="109"/>
      <c r="AE432" s="109"/>
      <c r="AF432" s="109"/>
      <c r="AG432" s="109"/>
      <c r="AH432" s="109"/>
      <c r="AI432" s="109"/>
      <c r="AJ432" s="109"/>
      <c r="AK432" s="109"/>
      <c r="AL432" s="109"/>
      <c r="AM432" s="109"/>
      <c r="AN432" s="109"/>
      <c r="AO432" s="109"/>
      <c r="AP432" s="109"/>
      <c r="AQ432" s="109"/>
      <c r="AR432" s="109"/>
      <c r="AS432" s="109"/>
      <c r="AT432" s="109"/>
      <c r="AU432" s="109"/>
      <c r="AV432" s="109"/>
      <c r="AW432" s="109"/>
      <c r="AX432" s="109"/>
      <c r="AY432" s="109"/>
      <c r="AZ432" s="109"/>
      <c r="BA432" s="109"/>
      <c r="BB432" s="109"/>
      <c r="BC432" s="109"/>
      <c r="BD432" s="109"/>
      <c r="BE432" s="109"/>
      <c r="BF432" s="109"/>
      <c r="BG432" s="109"/>
      <c r="BH432" s="109"/>
      <c r="BI432" s="109"/>
      <c r="BJ432" s="109"/>
      <c r="BK432" s="109"/>
      <c r="BL432" s="109"/>
      <c r="BM432" s="109"/>
      <c r="BN432" s="109"/>
      <c r="BO432" s="109"/>
      <c r="BP432" s="109"/>
      <c r="BQ432" s="109"/>
      <c r="BR432" s="109"/>
      <c r="BS432" s="109"/>
      <c r="BT432" s="109"/>
      <c r="BU432" s="109"/>
    </row>
    <row r="433" ht="15.75" customHeight="1">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10"/>
      <c r="X433" s="109"/>
      <c r="Y433" s="109"/>
      <c r="Z433" s="109"/>
      <c r="AA433" s="109"/>
      <c r="AB433" s="109"/>
      <c r="AC433" s="109"/>
      <c r="AD433" s="109"/>
      <c r="AE433" s="109"/>
      <c r="AF433" s="109"/>
      <c r="AG433" s="109"/>
      <c r="AH433" s="109"/>
      <c r="AI433" s="109"/>
      <c r="AJ433" s="109"/>
      <c r="AK433" s="109"/>
      <c r="AL433" s="109"/>
      <c r="AM433" s="109"/>
      <c r="AN433" s="109"/>
      <c r="AO433" s="109"/>
      <c r="AP433" s="109"/>
      <c r="AQ433" s="109"/>
      <c r="AR433" s="109"/>
      <c r="AS433" s="109"/>
      <c r="AT433" s="109"/>
      <c r="AU433" s="109"/>
      <c r="AV433" s="109"/>
      <c r="AW433" s="109"/>
      <c r="AX433" s="109"/>
      <c r="AY433" s="109"/>
      <c r="AZ433" s="109"/>
      <c r="BA433" s="109"/>
      <c r="BB433" s="109"/>
      <c r="BC433" s="109"/>
      <c r="BD433" s="109"/>
      <c r="BE433" s="109"/>
      <c r="BF433" s="109"/>
      <c r="BG433" s="109"/>
      <c r="BH433" s="109"/>
      <c r="BI433" s="109"/>
      <c r="BJ433" s="109"/>
      <c r="BK433" s="109"/>
      <c r="BL433" s="109"/>
      <c r="BM433" s="109"/>
      <c r="BN433" s="109"/>
      <c r="BO433" s="109"/>
      <c r="BP433" s="109"/>
      <c r="BQ433" s="109"/>
      <c r="BR433" s="109"/>
      <c r="BS433" s="109"/>
      <c r="BT433" s="109"/>
      <c r="BU433" s="109"/>
    </row>
    <row r="434" ht="15.75" customHeight="1">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10"/>
      <c r="X434" s="109"/>
      <c r="Y434" s="109"/>
      <c r="Z434" s="109"/>
      <c r="AA434" s="109"/>
      <c r="AB434" s="109"/>
      <c r="AC434" s="109"/>
      <c r="AD434" s="109"/>
      <c r="AE434" s="109"/>
      <c r="AF434" s="109"/>
      <c r="AG434" s="109"/>
      <c r="AH434" s="109"/>
      <c r="AI434" s="109"/>
      <c r="AJ434" s="109"/>
      <c r="AK434" s="109"/>
      <c r="AL434" s="109"/>
      <c r="AM434" s="109"/>
      <c r="AN434" s="109"/>
      <c r="AO434" s="109"/>
      <c r="AP434" s="109"/>
      <c r="AQ434" s="109"/>
      <c r="AR434" s="109"/>
      <c r="AS434" s="109"/>
      <c r="AT434" s="109"/>
      <c r="AU434" s="109"/>
      <c r="AV434" s="109"/>
      <c r="AW434" s="109"/>
      <c r="AX434" s="109"/>
      <c r="AY434" s="109"/>
      <c r="AZ434" s="109"/>
      <c r="BA434" s="109"/>
      <c r="BB434" s="109"/>
      <c r="BC434" s="109"/>
      <c r="BD434" s="109"/>
      <c r="BE434" s="109"/>
      <c r="BF434" s="109"/>
      <c r="BG434" s="109"/>
      <c r="BH434" s="109"/>
      <c r="BI434" s="109"/>
      <c r="BJ434" s="109"/>
      <c r="BK434" s="109"/>
      <c r="BL434" s="109"/>
      <c r="BM434" s="109"/>
      <c r="BN434" s="109"/>
      <c r="BO434" s="109"/>
      <c r="BP434" s="109"/>
      <c r="BQ434" s="109"/>
      <c r="BR434" s="109"/>
      <c r="BS434" s="109"/>
      <c r="BT434" s="109"/>
      <c r="BU434" s="109"/>
    </row>
    <row r="435" ht="15.75" customHeight="1">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10"/>
      <c r="X435" s="109"/>
      <c r="Y435" s="109"/>
      <c r="Z435" s="109"/>
      <c r="AA435" s="109"/>
      <c r="AB435" s="109"/>
      <c r="AC435" s="109"/>
      <c r="AD435" s="109"/>
      <c r="AE435" s="109"/>
      <c r="AF435" s="109"/>
      <c r="AG435" s="109"/>
      <c r="AH435" s="109"/>
      <c r="AI435" s="109"/>
      <c r="AJ435" s="109"/>
      <c r="AK435" s="109"/>
      <c r="AL435" s="109"/>
      <c r="AM435" s="109"/>
      <c r="AN435" s="109"/>
      <c r="AO435" s="109"/>
      <c r="AP435" s="109"/>
      <c r="AQ435" s="109"/>
      <c r="AR435" s="109"/>
      <c r="AS435" s="109"/>
      <c r="AT435" s="109"/>
      <c r="AU435" s="109"/>
      <c r="AV435" s="109"/>
      <c r="AW435" s="109"/>
      <c r="AX435" s="109"/>
      <c r="AY435" s="109"/>
      <c r="AZ435" s="109"/>
      <c r="BA435" s="109"/>
      <c r="BB435" s="109"/>
      <c r="BC435" s="109"/>
      <c r="BD435" s="109"/>
      <c r="BE435" s="109"/>
      <c r="BF435" s="109"/>
      <c r="BG435" s="109"/>
      <c r="BH435" s="109"/>
      <c r="BI435" s="109"/>
      <c r="BJ435" s="109"/>
      <c r="BK435" s="109"/>
      <c r="BL435" s="109"/>
      <c r="BM435" s="109"/>
      <c r="BN435" s="109"/>
      <c r="BO435" s="109"/>
      <c r="BP435" s="109"/>
      <c r="BQ435" s="109"/>
      <c r="BR435" s="109"/>
      <c r="BS435" s="109"/>
      <c r="BT435" s="109"/>
      <c r="BU435" s="109"/>
    </row>
    <row r="436" ht="15.75" customHeight="1">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10"/>
      <c r="X436" s="109"/>
      <c r="Y436" s="109"/>
      <c r="Z436" s="109"/>
      <c r="AA436" s="109"/>
      <c r="AB436" s="109"/>
      <c r="AC436" s="109"/>
      <c r="AD436" s="109"/>
      <c r="AE436" s="109"/>
      <c r="AF436" s="109"/>
      <c r="AG436" s="109"/>
      <c r="AH436" s="109"/>
      <c r="AI436" s="109"/>
      <c r="AJ436" s="109"/>
      <c r="AK436" s="109"/>
      <c r="AL436" s="109"/>
      <c r="AM436" s="109"/>
      <c r="AN436" s="109"/>
      <c r="AO436" s="109"/>
      <c r="AP436" s="109"/>
      <c r="AQ436" s="109"/>
      <c r="AR436" s="109"/>
      <c r="AS436" s="109"/>
      <c r="AT436" s="109"/>
      <c r="AU436" s="109"/>
      <c r="AV436" s="109"/>
      <c r="AW436" s="109"/>
      <c r="AX436" s="109"/>
      <c r="AY436" s="109"/>
      <c r="AZ436" s="109"/>
      <c r="BA436" s="109"/>
      <c r="BB436" s="109"/>
      <c r="BC436" s="109"/>
      <c r="BD436" s="109"/>
      <c r="BE436" s="109"/>
      <c r="BF436" s="109"/>
      <c r="BG436" s="109"/>
      <c r="BH436" s="109"/>
      <c r="BI436" s="109"/>
      <c r="BJ436" s="109"/>
      <c r="BK436" s="109"/>
      <c r="BL436" s="109"/>
      <c r="BM436" s="109"/>
      <c r="BN436" s="109"/>
      <c r="BO436" s="109"/>
      <c r="BP436" s="109"/>
      <c r="BQ436" s="109"/>
      <c r="BR436" s="109"/>
      <c r="BS436" s="109"/>
      <c r="BT436" s="109"/>
      <c r="BU436" s="109"/>
    </row>
    <row r="437" ht="15.75" customHeight="1">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10"/>
      <c r="X437" s="109"/>
      <c r="Y437" s="109"/>
      <c r="Z437" s="109"/>
      <c r="AA437" s="109"/>
      <c r="AB437" s="109"/>
      <c r="AC437" s="109"/>
      <c r="AD437" s="109"/>
      <c r="AE437" s="109"/>
      <c r="AF437" s="109"/>
      <c r="AG437" s="109"/>
      <c r="AH437" s="109"/>
      <c r="AI437" s="109"/>
      <c r="AJ437" s="109"/>
      <c r="AK437" s="109"/>
      <c r="AL437" s="109"/>
      <c r="AM437" s="109"/>
      <c r="AN437" s="109"/>
      <c r="AO437" s="109"/>
      <c r="AP437" s="109"/>
      <c r="AQ437" s="109"/>
      <c r="AR437" s="109"/>
      <c r="AS437" s="109"/>
      <c r="AT437" s="109"/>
      <c r="AU437" s="109"/>
      <c r="AV437" s="109"/>
      <c r="AW437" s="109"/>
      <c r="AX437" s="109"/>
      <c r="AY437" s="109"/>
      <c r="AZ437" s="109"/>
      <c r="BA437" s="109"/>
      <c r="BB437" s="109"/>
      <c r="BC437" s="109"/>
      <c r="BD437" s="109"/>
      <c r="BE437" s="109"/>
      <c r="BF437" s="109"/>
      <c r="BG437" s="109"/>
      <c r="BH437" s="109"/>
      <c r="BI437" s="109"/>
      <c r="BJ437" s="109"/>
      <c r="BK437" s="109"/>
      <c r="BL437" s="109"/>
      <c r="BM437" s="109"/>
      <c r="BN437" s="109"/>
      <c r="BO437" s="109"/>
      <c r="BP437" s="109"/>
      <c r="BQ437" s="109"/>
      <c r="BR437" s="109"/>
      <c r="BS437" s="109"/>
      <c r="BT437" s="109"/>
      <c r="BU437" s="109"/>
    </row>
    <row r="438" ht="15.75" customHeight="1">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10"/>
      <c r="X438" s="109"/>
      <c r="Y438" s="109"/>
      <c r="Z438" s="109"/>
      <c r="AA438" s="109"/>
      <c r="AB438" s="109"/>
      <c r="AC438" s="109"/>
      <c r="AD438" s="109"/>
      <c r="AE438" s="109"/>
      <c r="AF438" s="109"/>
      <c r="AG438" s="109"/>
      <c r="AH438" s="109"/>
      <c r="AI438" s="109"/>
      <c r="AJ438" s="109"/>
      <c r="AK438" s="109"/>
      <c r="AL438" s="109"/>
      <c r="AM438" s="109"/>
      <c r="AN438" s="109"/>
      <c r="AO438" s="109"/>
      <c r="AP438" s="109"/>
      <c r="AQ438" s="109"/>
      <c r="AR438" s="109"/>
      <c r="AS438" s="109"/>
      <c r="AT438" s="109"/>
      <c r="AU438" s="109"/>
      <c r="AV438" s="109"/>
      <c r="AW438" s="109"/>
      <c r="AX438" s="109"/>
      <c r="AY438" s="109"/>
      <c r="AZ438" s="109"/>
      <c r="BA438" s="109"/>
      <c r="BB438" s="109"/>
      <c r="BC438" s="109"/>
      <c r="BD438" s="109"/>
      <c r="BE438" s="109"/>
      <c r="BF438" s="109"/>
      <c r="BG438" s="109"/>
      <c r="BH438" s="109"/>
      <c r="BI438" s="109"/>
      <c r="BJ438" s="109"/>
      <c r="BK438" s="109"/>
      <c r="BL438" s="109"/>
      <c r="BM438" s="109"/>
      <c r="BN438" s="109"/>
      <c r="BO438" s="109"/>
      <c r="BP438" s="109"/>
      <c r="BQ438" s="109"/>
      <c r="BR438" s="109"/>
      <c r="BS438" s="109"/>
      <c r="BT438" s="109"/>
      <c r="BU438" s="109"/>
    </row>
    <row r="439" ht="15.75" customHeight="1">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10"/>
      <c r="X439" s="109"/>
      <c r="Y439" s="109"/>
      <c r="Z439" s="109"/>
      <c r="AA439" s="109"/>
      <c r="AB439" s="109"/>
      <c r="AC439" s="109"/>
      <c r="AD439" s="109"/>
      <c r="AE439" s="109"/>
      <c r="AF439" s="109"/>
      <c r="AG439" s="109"/>
      <c r="AH439" s="109"/>
      <c r="AI439" s="109"/>
      <c r="AJ439" s="109"/>
      <c r="AK439" s="109"/>
      <c r="AL439" s="109"/>
      <c r="AM439" s="109"/>
      <c r="AN439" s="109"/>
      <c r="AO439" s="109"/>
      <c r="AP439" s="109"/>
      <c r="AQ439" s="109"/>
      <c r="AR439" s="109"/>
      <c r="AS439" s="109"/>
      <c r="AT439" s="109"/>
      <c r="AU439" s="109"/>
      <c r="AV439" s="109"/>
      <c r="AW439" s="109"/>
      <c r="AX439" s="109"/>
      <c r="AY439" s="109"/>
      <c r="AZ439" s="109"/>
      <c r="BA439" s="109"/>
      <c r="BB439" s="109"/>
      <c r="BC439" s="109"/>
      <c r="BD439" s="109"/>
      <c r="BE439" s="109"/>
      <c r="BF439" s="109"/>
      <c r="BG439" s="109"/>
      <c r="BH439" s="109"/>
      <c r="BI439" s="109"/>
      <c r="BJ439" s="109"/>
      <c r="BK439" s="109"/>
      <c r="BL439" s="109"/>
      <c r="BM439" s="109"/>
      <c r="BN439" s="109"/>
      <c r="BO439" s="109"/>
      <c r="BP439" s="109"/>
      <c r="BQ439" s="109"/>
      <c r="BR439" s="109"/>
      <c r="BS439" s="109"/>
      <c r="BT439" s="109"/>
      <c r="BU439" s="109"/>
    </row>
    <row r="440" ht="15.75" customHeight="1">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10"/>
      <c r="X440" s="109"/>
      <c r="Y440" s="109"/>
      <c r="Z440" s="109"/>
      <c r="AA440" s="109"/>
      <c r="AB440" s="109"/>
      <c r="AC440" s="109"/>
      <c r="AD440" s="109"/>
      <c r="AE440" s="109"/>
      <c r="AF440" s="109"/>
      <c r="AG440" s="109"/>
      <c r="AH440" s="109"/>
      <c r="AI440" s="109"/>
      <c r="AJ440" s="109"/>
      <c r="AK440" s="109"/>
      <c r="AL440" s="109"/>
      <c r="AM440" s="109"/>
      <c r="AN440" s="109"/>
      <c r="AO440" s="109"/>
      <c r="AP440" s="109"/>
      <c r="AQ440" s="109"/>
      <c r="AR440" s="109"/>
      <c r="AS440" s="109"/>
      <c r="AT440" s="109"/>
      <c r="AU440" s="109"/>
      <c r="AV440" s="109"/>
      <c r="AW440" s="109"/>
      <c r="AX440" s="109"/>
      <c r="AY440" s="109"/>
      <c r="AZ440" s="109"/>
      <c r="BA440" s="109"/>
      <c r="BB440" s="109"/>
      <c r="BC440" s="109"/>
      <c r="BD440" s="109"/>
      <c r="BE440" s="109"/>
      <c r="BF440" s="109"/>
      <c r="BG440" s="109"/>
      <c r="BH440" s="109"/>
      <c r="BI440" s="109"/>
      <c r="BJ440" s="109"/>
      <c r="BK440" s="109"/>
      <c r="BL440" s="109"/>
      <c r="BM440" s="109"/>
      <c r="BN440" s="109"/>
      <c r="BO440" s="109"/>
      <c r="BP440" s="109"/>
      <c r="BQ440" s="109"/>
      <c r="BR440" s="109"/>
      <c r="BS440" s="109"/>
      <c r="BT440" s="109"/>
      <c r="BU440" s="109"/>
    </row>
    <row r="441" ht="15.75" customHeight="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10"/>
      <c r="X441" s="109"/>
      <c r="Y441" s="109"/>
      <c r="Z441" s="109"/>
      <c r="AA441" s="109"/>
      <c r="AB441" s="109"/>
      <c r="AC441" s="109"/>
      <c r="AD441" s="109"/>
      <c r="AE441" s="109"/>
      <c r="AF441" s="109"/>
      <c r="AG441" s="109"/>
      <c r="AH441" s="109"/>
      <c r="AI441" s="109"/>
      <c r="AJ441" s="109"/>
      <c r="AK441" s="109"/>
      <c r="AL441" s="109"/>
      <c r="AM441" s="109"/>
      <c r="AN441" s="109"/>
      <c r="AO441" s="109"/>
      <c r="AP441" s="109"/>
      <c r="AQ441" s="109"/>
      <c r="AR441" s="109"/>
      <c r="AS441" s="109"/>
      <c r="AT441" s="109"/>
      <c r="AU441" s="109"/>
      <c r="AV441" s="109"/>
      <c r="AW441" s="109"/>
      <c r="AX441" s="109"/>
      <c r="AY441" s="109"/>
      <c r="AZ441" s="109"/>
      <c r="BA441" s="109"/>
      <c r="BB441" s="109"/>
      <c r="BC441" s="109"/>
      <c r="BD441" s="109"/>
      <c r="BE441" s="109"/>
      <c r="BF441" s="109"/>
      <c r="BG441" s="109"/>
      <c r="BH441" s="109"/>
      <c r="BI441" s="109"/>
      <c r="BJ441" s="109"/>
      <c r="BK441" s="109"/>
      <c r="BL441" s="109"/>
      <c r="BM441" s="109"/>
      <c r="BN441" s="109"/>
      <c r="BO441" s="109"/>
      <c r="BP441" s="109"/>
      <c r="BQ441" s="109"/>
      <c r="BR441" s="109"/>
      <c r="BS441" s="109"/>
      <c r="BT441" s="109"/>
      <c r="BU441" s="109"/>
    </row>
    <row r="442" ht="15.75" customHeight="1">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10"/>
      <c r="X442" s="109"/>
      <c r="Y442" s="109"/>
      <c r="Z442" s="109"/>
      <c r="AA442" s="109"/>
      <c r="AB442" s="109"/>
      <c r="AC442" s="109"/>
      <c r="AD442" s="109"/>
      <c r="AE442" s="109"/>
      <c r="AF442" s="109"/>
      <c r="AG442" s="109"/>
      <c r="AH442" s="109"/>
      <c r="AI442" s="109"/>
      <c r="AJ442" s="109"/>
      <c r="AK442" s="109"/>
      <c r="AL442" s="109"/>
      <c r="AM442" s="109"/>
      <c r="AN442" s="109"/>
      <c r="AO442" s="109"/>
      <c r="AP442" s="109"/>
      <c r="AQ442" s="109"/>
      <c r="AR442" s="109"/>
      <c r="AS442" s="109"/>
      <c r="AT442" s="109"/>
      <c r="AU442" s="109"/>
      <c r="AV442" s="109"/>
      <c r="AW442" s="109"/>
      <c r="AX442" s="109"/>
      <c r="AY442" s="109"/>
      <c r="AZ442" s="109"/>
      <c r="BA442" s="109"/>
      <c r="BB442" s="109"/>
      <c r="BC442" s="109"/>
      <c r="BD442" s="109"/>
      <c r="BE442" s="109"/>
      <c r="BF442" s="109"/>
      <c r="BG442" s="109"/>
      <c r="BH442" s="109"/>
      <c r="BI442" s="109"/>
      <c r="BJ442" s="109"/>
      <c r="BK442" s="109"/>
      <c r="BL442" s="109"/>
      <c r="BM442" s="109"/>
      <c r="BN442" s="109"/>
      <c r="BO442" s="109"/>
      <c r="BP442" s="109"/>
      <c r="BQ442" s="109"/>
      <c r="BR442" s="109"/>
      <c r="BS442" s="109"/>
      <c r="BT442" s="109"/>
      <c r="BU442" s="109"/>
    </row>
    <row r="443" ht="15.75" customHeight="1">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10"/>
      <c r="X443" s="109"/>
      <c r="Y443" s="109"/>
      <c r="Z443" s="109"/>
      <c r="AA443" s="109"/>
      <c r="AB443" s="109"/>
      <c r="AC443" s="109"/>
      <c r="AD443" s="109"/>
      <c r="AE443" s="109"/>
      <c r="AF443" s="109"/>
      <c r="AG443" s="109"/>
      <c r="AH443" s="109"/>
      <c r="AI443" s="109"/>
      <c r="AJ443" s="109"/>
      <c r="AK443" s="109"/>
      <c r="AL443" s="109"/>
      <c r="AM443" s="109"/>
      <c r="AN443" s="109"/>
      <c r="AO443" s="109"/>
      <c r="AP443" s="109"/>
      <c r="AQ443" s="109"/>
      <c r="AR443" s="109"/>
      <c r="AS443" s="109"/>
      <c r="AT443" s="109"/>
      <c r="AU443" s="109"/>
      <c r="AV443" s="109"/>
      <c r="AW443" s="109"/>
      <c r="AX443" s="109"/>
      <c r="AY443" s="109"/>
      <c r="AZ443" s="109"/>
      <c r="BA443" s="109"/>
      <c r="BB443" s="109"/>
      <c r="BC443" s="109"/>
      <c r="BD443" s="109"/>
      <c r="BE443" s="109"/>
      <c r="BF443" s="109"/>
      <c r="BG443" s="109"/>
      <c r="BH443" s="109"/>
      <c r="BI443" s="109"/>
      <c r="BJ443" s="109"/>
      <c r="BK443" s="109"/>
      <c r="BL443" s="109"/>
      <c r="BM443" s="109"/>
      <c r="BN443" s="109"/>
      <c r="BO443" s="109"/>
      <c r="BP443" s="109"/>
      <c r="BQ443" s="109"/>
      <c r="BR443" s="109"/>
      <c r="BS443" s="109"/>
      <c r="BT443" s="109"/>
      <c r="BU443" s="109"/>
    </row>
    <row r="444" ht="15.75" customHeight="1">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10"/>
      <c r="X444" s="109"/>
      <c r="Y444" s="109"/>
      <c r="Z444" s="109"/>
      <c r="AA444" s="109"/>
      <c r="AB444" s="109"/>
      <c r="AC444" s="109"/>
      <c r="AD444" s="109"/>
      <c r="AE444" s="109"/>
      <c r="AF444" s="109"/>
      <c r="AG444" s="109"/>
      <c r="AH444" s="109"/>
      <c r="AI444" s="109"/>
      <c r="AJ444" s="109"/>
      <c r="AK444" s="109"/>
      <c r="AL444" s="109"/>
      <c r="AM444" s="109"/>
      <c r="AN444" s="109"/>
      <c r="AO444" s="109"/>
      <c r="AP444" s="109"/>
      <c r="AQ444" s="109"/>
      <c r="AR444" s="109"/>
      <c r="AS444" s="109"/>
      <c r="AT444" s="109"/>
      <c r="AU444" s="109"/>
      <c r="AV444" s="109"/>
      <c r="AW444" s="109"/>
      <c r="AX444" s="109"/>
      <c r="AY444" s="109"/>
      <c r="AZ444" s="109"/>
      <c r="BA444" s="109"/>
      <c r="BB444" s="109"/>
      <c r="BC444" s="109"/>
      <c r="BD444" s="109"/>
      <c r="BE444" s="109"/>
      <c r="BF444" s="109"/>
      <c r="BG444" s="109"/>
      <c r="BH444" s="109"/>
      <c r="BI444" s="109"/>
      <c r="BJ444" s="109"/>
      <c r="BK444" s="109"/>
      <c r="BL444" s="109"/>
      <c r="BM444" s="109"/>
      <c r="BN444" s="109"/>
      <c r="BO444" s="109"/>
      <c r="BP444" s="109"/>
      <c r="BQ444" s="109"/>
      <c r="BR444" s="109"/>
      <c r="BS444" s="109"/>
      <c r="BT444" s="109"/>
      <c r="BU444" s="109"/>
    </row>
    <row r="445" ht="15.75" customHeight="1">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10"/>
      <c r="X445" s="109"/>
      <c r="Y445" s="109"/>
      <c r="Z445" s="109"/>
      <c r="AA445" s="109"/>
      <c r="AB445" s="109"/>
      <c r="AC445" s="109"/>
      <c r="AD445" s="109"/>
      <c r="AE445" s="109"/>
      <c r="AF445" s="109"/>
      <c r="AG445" s="109"/>
      <c r="AH445" s="109"/>
      <c r="AI445" s="109"/>
      <c r="AJ445" s="109"/>
      <c r="AK445" s="109"/>
      <c r="AL445" s="109"/>
      <c r="AM445" s="109"/>
      <c r="AN445" s="109"/>
      <c r="AO445" s="109"/>
      <c r="AP445" s="109"/>
      <c r="AQ445" s="109"/>
      <c r="AR445" s="109"/>
      <c r="AS445" s="109"/>
      <c r="AT445" s="109"/>
      <c r="AU445" s="109"/>
      <c r="AV445" s="109"/>
      <c r="AW445" s="109"/>
      <c r="AX445" s="109"/>
      <c r="AY445" s="109"/>
      <c r="AZ445" s="109"/>
      <c r="BA445" s="109"/>
      <c r="BB445" s="109"/>
      <c r="BC445" s="109"/>
      <c r="BD445" s="109"/>
      <c r="BE445" s="109"/>
      <c r="BF445" s="109"/>
      <c r="BG445" s="109"/>
      <c r="BH445" s="109"/>
      <c r="BI445" s="109"/>
      <c r="BJ445" s="109"/>
      <c r="BK445" s="109"/>
      <c r="BL445" s="109"/>
      <c r="BM445" s="109"/>
      <c r="BN445" s="109"/>
      <c r="BO445" s="109"/>
      <c r="BP445" s="109"/>
      <c r="BQ445" s="109"/>
      <c r="BR445" s="109"/>
      <c r="BS445" s="109"/>
      <c r="BT445" s="109"/>
      <c r="BU445" s="109"/>
    </row>
    <row r="446" ht="15.75" customHeight="1">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10"/>
      <c r="X446" s="109"/>
      <c r="Y446" s="109"/>
      <c r="Z446" s="109"/>
      <c r="AA446" s="109"/>
      <c r="AB446" s="109"/>
      <c r="AC446" s="109"/>
      <c r="AD446" s="109"/>
      <c r="AE446" s="109"/>
      <c r="AF446" s="109"/>
      <c r="AG446" s="109"/>
      <c r="AH446" s="109"/>
      <c r="AI446" s="109"/>
      <c r="AJ446" s="109"/>
      <c r="AK446" s="109"/>
      <c r="AL446" s="109"/>
      <c r="AM446" s="109"/>
      <c r="AN446" s="109"/>
      <c r="AO446" s="109"/>
      <c r="AP446" s="109"/>
      <c r="AQ446" s="109"/>
      <c r="AR446" s="109"/>
      <c r="AS446" s="109"/>
      <c r="AT446" s="109"/>
      <c r="AU446" s="109"/>
      <c r="AV446" s="109"/>
      <c r="AW446" s="109"/>
      <c r="AX446" s="109"/>
      <c r="AY446" s="109"/>
      <c r="AZ446" s="109"/>
      <c r="BA446" s="109"/>
      <c r="BB446" s="109"/>
      <c r="BC446" s="109"/>
      <c r="BD446" s="109"/>
      <c r="BE446" s="109"/>
      <c r="BF446" s="109"/>
      <c r="BG446" s="109"/>
      <c r="BH446" s="109"/>
      <c r="BI446" s="109"/>
      <c r="BJ446" s="109"/>
      <c r="BK446" s="109"/>
      <c r="BL446" s="109"/>
      <c r="BM446" s="109"/>
      <c r="BN446" s="109"/>
      <c r="BO446" s="109"/>
      <c r="BP446" s="109"/>
      <c r="BQ446" s="109"/>
      <c r="BR446" s="109"/>
      <c r="BS446" s="109"/>
      <c r="BT446" s="109"/>
      <c r="BU446" s="109"/>
    </row>
    <row r="447" ht="15.75" customHeight="1">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10"/>
      <c r="X447" s="109"/>
      <c r="Y447" s="109"/>
      <c r="Z447" s="109"/>
      <c r="AA447" s="109"/>
      <c r="AB447" s="109"/>
      <c r="AC447" s="109"/>
      <c r="AD447" s="109"/>
      <c r="AE447" s="109"/>
      <c r="AF447" s="109"/>
      <c r="AG447" s="109"/>
      <c r="AH447" s="109"/>
      <c r="AI447" s="109"/>
      <c r="AJ447" s="109"/>
      <c r="AK447" s="109"/>
      <c r="AL447" s="109"/>
      <c r="AM447" s="109"/>
      <c r="AN447" s="109"/>
      <c r="AO447" s="109"/>
      <c r="AP447" s="109"/>
      <c r="AQ447" s="109"/>
      <c r="AR447" s="109"/>
      <c r="AS447" s="109"/>
      <c r="AT447" s="109"/>
      <c r="AU447" s="109"/>
      <c r="AV447" s="109"/>
      <c r="AW447" s="109"/>
      <c r="AX447" s="109"/>
      <c r="AY447" s="109"/>
      <c r="AZ447" s="109"/>
      <c r="BA447" s="109"/>
      <c r="BB447" s="109"/>
      <c r="BC447" s="109"/>
      <c r="BD447" s="109"/>
      <c r="BE447" s="109"/>
      <c r="BF447" s="109"/>
      <c r="BG447" s="109"/>
      <c r="BH447" s="109"/>
      <c r="BI447" s="109"/>
      <c r="BJ447" s="109"/>
      <c r="BK447" s="109"/>
      <c r="BL447" s="109"/>
      <c r="BM447" s="109"/>
      <c r="BN447" s="109"/>
      <c r="BO447" s="109"/>
      <c r="BP447" s="109"/>
      <c r="BQ447" s="109"/>
      <c r="BR447" s="109"/>
      <c r="BS447" s="109"/>
      <c r="BT447" s="109"/>
      <c r="BU447" s="109"/>
    </row>
    <row r="448" ht="15.75" customHeight="1">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10"/>
      <c r="X448" s="109"/>
      <c r="Y448" s="109"/>
      <c r="Z448" s="109"/>
      <c r="AA448" s="109"/>
      <c r="AB448" s="109"/>
      <c r="AC448" s="109"/>
      <c r="AD448" s="109"/>
      <c r="AE448" s="109"/>
      <c r="AF448" s="109"/>
      <c r="AG448" s="109"/>
      <c r="AH448" s="109"/>
      <c r="AI448" s="109"/>
      <c r="AJ448" s="109"/>
      <c r="AK448" s="109"/>
      <c r="AL448" s="109"/>
      <c r="AM448" s="109"/>
      <c r="AN448" s="109"/>
      <c r="AO448" s="109"/>
      <c r="AP448" s="109"/>
      <c r="AQ448" s="109"/>
      <c r="AR448" s="109"/>
      <c r="AS448" s="109"/>
      <c r="AT448" s="109"/>
      <c r="AU448" s="109"/>
      <c r="AV448" s="109"/>
      <c r="AW448" s="109"/>
      <c r="AX448" s="109"/>
      <c r="AY448" s="109"/>
      <c r="AZ448" s="109"/>
      <c r="BA448" s="109"/>
      <c r="BB448" s="109"/>
      <c r="BC448" s="109"/>
      <c r="BD448" s="109"/>
      <c r="BE448" s="109"/>
      <c r="BF448" s="109"/>
      <c r="BG448" s="109"/>
      <c r="BH448" s="109"/>
      <c r="BI448" s="109"/>
      <c r="BJ448" s="109"/>
      <c r="BK448" s="109"/>
      <c r="BL448" s="109"/>
      <c r="BM448" s="109"/>
      <c r="BN448" s="109"/>
      <c r="BO448" s="109"/>
      <c r="BP448" s="109"/>
      <c r="BQ448" s="109"/>
      <c r="BR448" s="109"/>
      <c r="BS448" s="109"/>
      <c r="BT448" s="109"/>
      <c r="BU448" s="109"/>
    </row>
    <row r="449" ht="15.75" customHeight="1">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10"/>
      <c r="X449" s="109"/>
      <c r="Y449" s="109"/>
      <c r="Z449" s="109"/>
      <c r="AA449" s="109"/>
      <c r="AB449" s="109"/>
      <c r="AC449" s="109"/>
      <c r="AD449" s="109"/>
      <c r="AE449" s="109"/>
      <c r="AF449" s="109"/>
      <c r="AG449" s="109"/>
      <c r="AH449" s="109"/>
      <c r="AI449" s="109"/>
      <c r="AJ449" s="109"/>
      <c r="AK449" s="109"/>
      <c r="AL449" s="109"/>
      <c r="AM449" s="109"/>
      <c r="AN449" s="109"/>
      <c r="AO449" s="109"/>
      <c r="AP449" s="109"/>
      <c r="AQ449" s="109"/>
      <c r="AR449" s="109"/>
      <c r="AS449" s="109"/>
      <c r="AT449" s="109"/>
      <c r="AU449" s="109"/>
      <c r="AV449" s="109"/>
      <c r="AW449" s="109"/>
      <c r="AX449" s="109"/>
      <c r="AY449" s="109"/>
      <c r="AZ449" s="109"/>
      <c r="BA449" s="109"/>
      <c r="BB449" s="109"/>
      <c r="BC449" s="109"/>
      <c r="BD449" s="109"/>
      <c r="BE449" s="109"/>
      <c r="BF449" s="109"/>
      <c r="BG449" s="109"/>
      <c r="BH449" s="109"/>
      <c r="BI449" s="109"/>
      <c r="BJ449" s="109"/>
      <c r="BK449" s="109"/>
      <c r="BL449" s="109"/>
      <c r="BM449" s="109"/>
      <c r="BN449" s="109"/>
      <c r="BO449" s="109"/>
      <c r="BP449" s="109"/>
      <c r="BQ449" s="109"/>
      <c r="BR449" s="109"/>
      <c r="BS449" s="109"/>
      <c r="BT449" s="109"/>
      <c r="BU449" s="109"/>
    </row>
    <row r="450" ht="15.75" customHeight="1">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10"/>
      <c r="X450" s="109"/>
      <c r="Y450" s="109"/>
      <c r="Z450" s="109"/>
      <c r="AA450" s="109"/>
      <c r="AB450" s="109"/>
      <c r="AC450" s="109"/>
      <c r="AD450" s="109"/>
      <c r="AE450" s="109"/>
      <c r="AF450" s="109"/>
      <c r="AG450" s="109"/>
      <c r="AH450" s="109"/>
      <c r="AI450" s="109"/>
      <c r="AJ450" s="109"/>
      <c r="AK450" s="109"/>
      <c r="AL450" s="109"/>
      <c r="AM450" s="109"/>
      <c r="AN450" s="109"/>
      <c r="AO450" s="109"/>
      <c r="AP450" s="109"/>
      <c r="AQ450" s="109"/>
      <c r="AR450" s="109"/>
      <c r="AS450" s="109"/>
      <c r="AT450" s="109"/>
      <c r="AU450" s="109"/>
      <c r="AV450" s="109"/>
      <c r="AW450" s="109"/>
      <c r="AX450" s="109"/>
      <c r="AY450" s="109"/>
      <c r="AZ450" s="109"/>
      <c r="BA450" s="109"/>
      <c r="BB450" s="109"/>
      <c r="BC450" s="109"/>
      <c r="BD450" s="109"/>
      <c r="BE450" s="109"/>
      <c r="BF450" s="109"/>
      <c r="BG450" s="109"/>
      <c r="BH450" s="109"/>
      <c r="BI450" s="109"/>
      <c r="BJ450" s="109"/>
      <c r="BK450" s="109"/>
      <c r="BL450" s="109"/>
      <c r="BM450" s="109"/>
      <c r="BN450" s="109"/>
      <c r="BO450" s="109"/>
      <c r="BP450" s="109"/>
      <c r="BQ450" s="109"/>
      <c r="BR450" s="109"/>
      <c r="BS450" s="109"/>
      <c r="BT450" s="109"/>
      <c r="BU450" s="109"/>
    </row>
    <row r="451" ht="15.75" customHeight="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10"/>
      <c r="X451" s="109"/>
      <c r="Y451" s="109"/>
      <c r="Z451" s="109"/>
      <c r="AA451" s="109"/>
      <c r="AB451" s="109"/>
      <c r="AC451" s="109"/>
      <c r="AD451" s="109"/>
      <c r="AE451" s="109"/>
      <c r="AF451" s="109"/>
      <c r="AG451" s="109"/>
      <c r="AH451" s="109"/>
      <c r="AI451" s="109"/>
      <c r="AJ451" s="109"/>
      <c r="AK451" s="109"/>
      <c r="AL451" s="109"/>
      <c r="AM451" s="109"/>
      <c r="AN451" s="109"/>
      <c r="AO451" s="109"/>
      <c r="AP451" s="109"/>
      <c r="AQ451" s="109"/>
      <c r="AR451" s="109"/>
      <c r="AS451" s="109"/>
      <c r="AT451" s="109"/>
      <c r="AU451" s="109"/>
      <c r="AV451" s="109"/>
      <c r="AW451" s="109"/>
      <c r="AX451" s="109"/>
      <c r="AY451" s="109"/>
      <c r="AZ451" s="109"/>
      <c r="BA451" s="109"/>
      <c r="BB451" s="109"/>
      <c r="BC451" s="109"/>
      <c r="BD451" s="109"/>
      <c r="BE451" s="109"/>
      <c r="BF451" s="109"/>
      <c r="BG451" s="109"/>
      <c r="BH451" s="109"/>
      <c r="BI451" s="109"/>
      <c r="BJ451" s="109"/>
      <c r="BK451" s="109"/>
      <c r="BL451" s="109"/>
      <c r="BM451" s="109"/>
      <c r="BN451" s="109"/>
      <c r="BO451" s="109"/>
      <c r="BP451" s="109"/>
      <c r="BQ451" s="109"/>
      <c r="BR451" s="109"/>
      <c r="BS451" s="109"/>
      <c r="BT451" s="109"/>
      <c r="BU451" s="109"/>
    </row>
    <row r="452" ht="15.75" customHeight="1">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10"/>
      <c r="X452" s="109"/>
      <c r="Y452" s="109"/>
      <c r="Z452" s="109"/>
      <c r="AA452" s="109"/>
      <c r="AB452" s="109"/>
      <c r="AC452" s="109"/>
      <c r="AD452" s="109"/>
      <c r="AE452" s="109"/>
      <c r="AF452" s="109"/>
      <c r="AG452" s="109"/>
      <c r="AH452" s="109"/>
      <c r="AI452" s="109"/>
      <c r="AJ452" s="109"/>
      <c r="AK452" s="109"/>
      <c r="AL452" s="109"/>
      <c r="AM452" s="109"/>
      <c r="AN452" s="109"/>
      <c r="AO452" s="109"/>
      <c r="AP452" s="109"/>
      <c r="AQ452" s="109"/>
      <c r="AR452" s="109"/>
      <c r="AS452" s="109"/>
      <c r="AT452" s="109"/>
      <c r="AU452" s="109"/>
      <c r="AV452" s="109"/>
      <c r="AW452" s="109"/>
      <c r="AX452" s="109"/>
      <c r="AY452" s="109"/>
      <c r="AZ452" s="109"/>
      <c r="BA452" s="109"/>
      <c r="BB452" s="109"/>
      <c r="BC452" s="109"/>
      <c r="BD452" s="109"/>
      <c r="BE452" s="109"/>
      <c r="BF452" s="109"/>
      <c r="BG452" s="109"/>
      <c r="BH452" s="109"/>
      <c r="BI452" s="109"/>
      <c r="BJ452" s="109"/>
      <c r="BK452" s="109"/>
      <c r="BL452" s="109"/>
      <c r="BM452" s="109"/>
      <c r="BN452" s="109"/>
      <c r="BO452" s="109"/>
      <c r="BP452" s="109"/>
      <c r="BQ452" s="109"/>
      <c r="BR452" s="109"/>
      <c r="BS452" s="109"/>
      <c r="BT452" s="109"/>
      <c r="BU452" s="109"/>
    </row>
    <row r="453" ht="15.75" customHeight="1">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10"/>
      <c r="X453" s="109"/>
      <c r="Y453" s="109"/>
      <c r="Z453" s="109"/>
      <c r="AA453" s="109"/>
      <c r="AB453" s="109"/>
      <c r="AC453" s="109"/>
      <c r="AD453" s="109"/>
      <c r="AE453" s="109"/>
      <c r="AF453" s="109"/>
      <c r="AG453" s="109"/>
      <c r="AH453" s="109"/>
      <c r="AI453" s="109"/>
      <c r="AJ453" s="109"/>
      <c r="AK453" s="109"/>
      <c r="AL453" s="109"/>
      <c r="AM453" s="109"/>
      <c r="AN453" s="109"/>
      <c r="AO453" s="109"/>
      <c r="AP453" s="109"/>
      <c r="AQ453" s="109"/>
      <c r="AR453" s="109"/>
      <c r="AS453" s="109"/>
      <c r="AT453" s="109"/>
      <c r="AU453" s="109"/>
      <c r="AV453" s="109"/>
      <c r="AW453" s="109"/>
      <c r="AX453" s="109"/>
      <c r="AY453" s="109"/>
      <c r="AZ453" s="109"/>
      <c r="BA453" s="109"/>
      <c r="BB453" s="109"/>
      <c r="BC453" s="109"/>
      <c r="BD453" s="109"/>
      <c r="BE453" s="109"/>
      <c r="BF453" s="109"/>
      <c r="BG453" s="109"/>
      <c r="BH453" s="109"/>
      <c r="BI453" s="109"/>
      <c r="BJ453" s="109"/>
      <c r="BK453" s="109"/>
      <c r="BL453" s="109"/>
      <c r="BM453" s="109"/>
      <c r="BN453" s="109"/>
      <c r="BO453" s="109"/>
      <c r="BP453" s="109"/>
      <c r="BQ453" s="109"/>
      <c r="BR453" s="109"/>
      <c r="BS453" s="109"/>
      <c r="BT453" s="109"/>
      <c r="BU453" s="109"/>
    </row>
    <row r="454" ht="15.75" customHeight="1">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10"/>
      <c r="X454" s="109"/>
      <c r="Y454" s="109"/>
      <c r="Z454" s="109"/>
      <c r="AA454" s="109"/>
      <c r="AB454" s="109"/>
      <c r="AC454" s="109"/>
      <c r="AD454" s="109"/>
      <c r="AE454" s="109"/>
      <c r="AF454" s="109"/>
      <c r="AG454" s="109"/>
      <c r="AH454" s="109"/>
      <c r="AI454" s="109"/>
      <c r="AJ454" s="109"/>
      <c r="AK454" s="109"/>
      <c r="AL454" s="109"/>
      <c r="AM454" s="109"/>
      <c r="AN454" s="109"/>
      <c r="AO454" s="109"/>
      <c r="AP454" s="109"/>
      <c r="AQ454" s="109"/>
      <c r="AR454" s="109"/>
      <c r="AS454" s="109"/>
      <c r="AT454" s="109"/>
      <c r="AU454" s="109"/>
      <c r="AV454" s="109"/>
      <c r="AW454" s="109"/>
      <c r="AX454" s="109"/>
      <c r="AY454" s="109"/>
      <c r="AZ454" s="109"/>
      <c r="BA454" s="109"/>
      <c r="BB454" s="109"/>
      <c r="BC454" s="109"/>
      <c r="BD454" s="109"/>
      <c r="BE454" s="109"/>
      <c r="BF454" s="109"/>
      <c r="BG454" s="109"/>
      <c r="BH454" s="109"/>
      <c r="BI454" s="109"/>
      <c r="BJ454" s="109"/>
      <c r="BK454" s="109"/>
      <c r="BL454" s="109"/>
      <c r="BM454" s="109"/>
      <c r="BN454" s="109"/>
      <c r="BO454" s="109"/>
      <c r="BP454" s="109"/>
      <c r="BQ454" s="109"/>
      <c r="BR454" s="109"/>
      <c r="BS454" s="109"/>
      <c r="BT454" s="109"/>
      <c r="BU454" s="109"/>
    </row>
    <row r="455" ht="15.75" customHeight="1">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10"/>
      <c r="X455" s="109"/>
      <c r="Y455" s="109"/>
      <c r="Z455" s="109"/>
      <c r="AA455" s="109"/>
      <c r="AB455" s="109"/>
      <c r="AC455" s="109"/>
      <c r="AD455" s="109"/>
      <c r="AE455" s="109"/>
      <c r="AF455" s="109"/>
      <c r="AG455" s="109"/>
      <c r="AH455" s="109"/>
      <c r="AI455" s="109"/>
      <c r="AJ455" s="109"/>
      <c r="AK455" s="109"/>
      <c r="AL455" s="109"/>
      <c r="AM455" s="109"/>
      <c r="AN455" s="109"/>
      <c r="AO455" s="109"/>
      <c r="AP455" s="109"/>
      <c r="AQ455" s="109"/>
      <c r="AR455" s="109"/>
      <c r="AS455" s="109"/>
      <c r="AT455" s="109"/>
      <c r="AU455" s="109"/>
      <c r="AV455" s="109"/>
      <c r="AW455" s="109"/>
      <c r="AX455" s="109"/>
      <c r="AY455" s="109"/>
      <c r="AZ455" s="109"/>
      <c r="BA455" s="109"/>
      <c r="BB455" s="109"/>
      <c r="BC455" s="109"/>
      <c r="BD455" s="109"/>
      <c r="BE455" s="109"/>
      <c r="BF455" s="109"/>
      <c r="BG455" s="109"/>
      <c r="BH455" s="109"/>
      <c r="BI455" s="109"/>
      <c r="BJ455" s="109"/>
      <c r="BK455" s="109"/>
      <c r="BL455" s="109"/>
      <c r="BM455" s="109"/>
      <c r="BN455" s="109"/>
      <c r="BO455" s="109"/>
      <c r="BP455" s="109"/>
      <c r="BQ455" s="109"/>
      <c r="BR455" s="109"/>
      <c r="BS455" s="109"/>
      <c r="BT455" s="109"/>
      <c r="BU455" s="109"/>
    </row>
    <row r="456" ht="15.75" customHeight="1">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10"/>
      <c r="X456" s="109"/>
      <c r="Y456" s="109"/>
      <c r="Z456" s="109"/>
      <c r="AA456" s="109"/>
      <c r="AB456" s="109"/>
      <c r="AC456" s="109"/>
      <c r="AD456" s="109"/>
      <c r="AE456" s="109"/>
      <c r="AF456" s="109"/>
      <c r="AG456" s="109"/>
      <c r="AH456" s="109"/>
      <c r="AI456" s="109"/>
      <c r="AJ456" s="109"/>
      <c r="AK456" s="109"/>
      <c r="AL456" s="109"/>
      <c r="AM456" s="109"/>
      <c r="AN456" s="109"/>
      <c r="AO456" s="109"/>
      <c r="AP456" s="109"/>
      <c r="AQ456" s="109"/>
      <c r="AR456" s="109"/>
      <c r="AS456" s="109"/>
      <c r="AT456" s="109"/>
      <c r="AU456" s="109"/>
      <c r="AV456" s="109"/>
      <c r="AW456" s="109"/>
      <c r="AX456" s="109"/>
      <c r="AY456" s="109"/>
      <c r="AZ456" s="109"/>
      <c r="BA456" s="109"/>
      <c r="BB456" s="109"/>
      <c r="BC456" s="109"/>
      <c r="BD456" s="109"/>
      <c r="BE456" s="109"/>
      <c r="BF456" s="109"/>
      <c r="BG456" s="109"/>
      <c r="BH456" s="109"/>
      <c r="BI456" s="109"/>
      <c r="BJ456" s="109"/>
      <c r="BK456" s="109"/>
      <c r="BL456" s="109"/>
      <c r="BM456" s="109"/>
      <c r="BN456" s="109"/>
      <c r="BO456" s="109"/>
      <c r="BP456" s="109"/>
      <c r="BQ456" s="109"/>
      <c r="BR456" s="109"/>
      <c r="BS456" s="109"/>
      <c r="BT456" s="109"/>
      <c r="BU456" s="109"/>
    </row>
    <row r="457" ht="15.75" customHeight="1">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10"/>
      <c r="X457" s="109"/>
      <c r="Y457" s="109"/>
      <c r="Z457" s="109"/>
      <c r="AA457" s="109"/>
      <c r="AB457" s="109"/>
      <c r="AC457" s="109"/>
      <c r="AD457" s="109"/>
      <c r="AE457" s="109"/>
      <c r="AF457" s="109"/>
      <c r="AG457" s="109"/>
      <c r="AH457" s="109"/>
      <c r="AI457" s="109"/>
      <c r="AJ457" s="109"/>
      <c r="AK457" s="109"/>
      <c r="AL457" s="109"/>
      <c r="AM457" s="109"/>
      <c r="AN457" s="109"/>
      <c r="AO457" s="109"/>
      <c r="AP457" s="109"/>
      <c r="AQ457" s="109"/>
      <c r="AR457" s="109"/>
      <c r="AS457" s="109"/>
      <c r="AT457" s="109"/>
      <c r="AU457" s="109"/>
      <c r="AV457" s="109"/>
      <c r="AW457" s="109"/>
      <c r="AX457" s="109"/>
      <c r="AY457" s="109"/>
      <c r="AZ457" s="109"/>
      <c r="BA457" s="109"/>
      <c r="BB457" s="109"/>
      <c r="BC457" s="109"/>
      <c r="BD457" s="109"/>
      <c r="BE457" s="109"/>
      <c r="BF457" s="109"/>
      <c r="BG457" s="109"/>
      <c r="BH457" s="109"/>
      <c r="BI457" s="109"/>
      <c r="BJ457" s="109"/>
      <c r="BK457" s="109"/>
      <c r="BL457" s="109"/>
      <c r="BM457" s="109"/>
      <c r="BN457" s="109"/>
      <c r="BO457" s="109"/>
      <c r="BP457" s="109"/>
      <c r="BQ457" s="109"/>
      <c r="BR457" s="109"/>
      <c r="BS457" s="109"/>
      <c r="BT457" s="109"/>
      <c r="BU457" s="109"/>
    </row>
    <row r="458" ht="15.75" customHeight="1">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10"/>
      <c r="X458" s="109"/>
      <c r="Y458" s="109"/>
      <c r="Z458" s="109"/>
      <c r="AA458" s="109"/>
      <c r="AB458" s="109"/>
      <c r="AC458" s="109"/>
      <c r="AD458" s="109"/>
      <c r="AE458" s="109"/>
      <c r="AF458" s="109"/>
      <c r="AG458" s="109"/>
      <c r="AH458" s="109"/>
      <c r="AI458" s="109"/>
      <c r="AJ458" s="109"/>
      <c r="AK458" s="109"/>
      <c r="AL458" s="109"/>
      <c r="AM458" s="109"/>
      <c r="AN458" s="109"/>
      <c r="AO458" s="109"/>
      <c r="AP458" s="109"/>
      <c r="AQ458" s="109"/>
      <c r="AR458" s="109"/>
      <c r="AS458" s="109"/>
      <c r="AT458" s="109"/>
      <c r="AU458" s="109"/>
      <c r="AV458" s="109"/>
      <c r="AW458" s="109"/>
      <c r="AX458" s="109"/>
      <c r="AY458" s="109"/>
      <c r="AZ458" s="109"/>
      <c r="BA458" s="109"/>
      <c r="BB458" s="109"/>
      <c r="BC458" s="109"/>
      <c r="BD458" s="109"/>
      <c r="BE458" s="109"/>
      <c r="BF458" s="109"/>
      <c r="BG458" s="109"/>
      <c r="BH458" s="109"/>
      <c r="BI458" s="109"/>
      <c r="BJ458" s="109"/>
      <c r="BK458" s="109"/>
      <c r="BL458" s="109"/>
      <c r="BM458" s="109"/>
      <c r="BN458" s="109"/>
      <c r="BO458" s="109"/>
      <c r="BP458" s="109"/>
      <c r="BQ458" s="109"/>
      <c r="BR458" s="109"/>
      <c r="BS458" s="109"/>
      <c r="BT458" s="109"/>
      <c r="BU458" s="109"/>
    </row>
    <row r="459" ht="15.75" customHeight="1">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10"/>
      <c r="X459" s="109"/>
      <c r="Y459" s="109"/>
      <c r="Z459" s="109"/>
      <c r="AA459" s="109"/>
      <c r="AB459" s="109"/>
      <c r="AC459" s="109"/>
      <c r="AD459" s="109"/>
      <c r="AE459" s="109"/>
      <c r="AF459" s="109"/>
      <c r="AG459" s="109"/>
      <c r="AH459" s="109"/>
      <c r="AI459" s="109"/>
      <c r="AJ459" s="109"/>
      <c r="AK459" s="109"/>
      <c r="AL459" s="109"/>
      <c r="AM459" s="109"/>
      <c r="AN459" s="109"/>
      <c r="AO459" s="109"/>
      <c r="AP459" s="109"/>
      <c r="AQ459" s="109"/>
      <c r="AR459" s="109"/>
      <c r="AS459" s="109"/>
      <c r="AT459" s="109"/>
      <c r="AU459" s="109"/>
      <c r="AV459" s="109"/>
      <c r="AW459" s="109"/>
      <c r="AX459" s="109"/>
      <c r="AY459" s="109"/>
      <c r="AZ459" s="109"/>
      <c r="BA459" s="109"/>
      <c r="BB459" s="109"/>
      <c r="BC459" s="109"/>
      <c r="BD459" s="109"/>
      <c r="BE459" s="109"/>
      <c r="BF459" s="109"/>
      <c r="BG459" s="109"/>
      <c r="BH459" s="109"/>
      <c r="BI459" s="109"/>
      <c r="BJ459" s="109"/>
      <c r="BK459" s="109"/>
      <c r="BL459" s="109"/>
      <c r="BM459" s="109"/>
      <c r="BN459" s="109"/>
      <c r="BO459" s="109"/>
      <c r="BP459" s="109"/>
      <c r="BQ459" s="109"/>
      <c r="BR459" s="109"/>
      <c r="BS459" s="109"/>
      <c r="BT459" s="109"/>
      <c r="BU459" s="109"/>
    </row>
    <row r="460" ht="15.75" customHeight="1">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10"/>
      <c r="X460" s="109"/>
      <c r="Y460" s="109"/>
      <c r="Z460" s="109"/>
      <c r="AA460" s="109"/>
      <c r="AB460" s="109"/>
      <c r="AC460" s="109"/>
      <c r="AD460" s="109"/>
      <c r="AE460" s="109"/>
      <c r="AF460" s="109"/>
      <c r="AG460" s="109"/>
      <c r="AH460" s="109"/>
      <c r="AI460" s="109"/>
      <c r="AJ460" s="109"/>
      <c r="AK460" s="109"/>
      <c r="AL460" s="109"/>
      <c r="AM460" s="109"/>
      <c r="AN460" s="109"/>
      <c r="AO460" s="109"/>
      <c r="AP460" s="109"/>
      <c r="AQ460" s="109"/>
      <c r="AR460" s="109"/>
      <c r="AS460" s="109"/>
      <c r="AT460" s="109"/>
      <c r="AU460" s="109"/>
      <c r="AV460" s="109"/>
      <c r="AW460" s="109"/>
      <c r="AX460" s="109"/>
      <c r="AY460" s="109"/>
      <c r="AZ460" s="109"/>
      <c r="BA460" s="109"/>
      <c r="BB460" s="109"/>
      <c r="BC460" s="109"/>
      <c r="BD460" s="109"/>
      <c r="BE460" s="109"/>
      <c r="BF460" s="109"/>
      <c r="BG460" s="109"/>
      <c r="BH460" s="109"/>
      <c r="BI460" s="109"/>
      <c r="BJ460" s="109"/>
      <c r="BK460" s="109"/>
      <c r="BL460" s="109"/>
      <c r="BM460" s="109"/>
      <c r="BN460" s="109"/>
      <c r="BO460" s="109"/>
      <c r="BP460" s="109"/>
      <c r="BQ460" s="109"/>
      <c r="BR460" s="109"/>
      <c r="BS460" s="109"/>
      <c r="BT460" s="109"/>
      <c r="BU460" s="109"/>
    </row>
    <row r="461" ht="15.75" customHeight="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10"/>
      <c r="X461" s="109"/>
      <c r="Y461" s="109"/>
      <c r="Z461" s="109"/>
      <c r="AA461" s="109"/>
      <c r="AB461" s="109"/>
      <c r="AC461" s="109"/>
      <c r="AD461" s="109"/>
      <c r="AE461" s="109"/>
      <c r="AF461" s="109"/>
      <c r="AG461" s="109"/>
      <c r="AH461" s="109"/>
      <c r="AI461" s="109"/>
      <c r="AJ461" s="109"/>
      <c r="AK461" s="109"/>
      <c r="AL461" s="109"/>
      <c r="AM461" s="109"/>
      <c r="AN461" s="109"/>
      <c r="AO461" s="109"/>
      <c r="AP461" s="109"/>
      <c r="AQ461" s="109"/>
      <c r="AR461" s="109"/>
      <c r="AS461" s="109"/>
      <c r="AT461" s="109"/>
      <c r="AU461" s="109"/>
      <c r="AV461" s="109"/>
      <c r="AW461" s="109"/>
      <c r="AX461" s="109"/>
      <c r="AY461" s="109"/>
      <c r="AZ461" s="109"/>
      <c r="BA461" s="109"/>
      <c r="BB461" s="109"/>
      <c r="BC461" s="109"/>
      <c r="BD461" s="109"/>
      <c r="BE461" s="109"/>
      <c r="BF461" s="109"/>
      <c r="BG461" s="109"/>
      <c r="BH461" s="109"/>
      <c r="BI461" s="109"/>
      <c r="BJ461" s="109"/>
      <c r="BK461" s="109"/>
      <c r="BL461" s="109"/>
      <c r="BM461" s="109"/>
      <c r="BN461" s="109"/>
      <c r="BO461" s="109"/>
      <c r="BP461" s="109"/>
      <c r="BQ461" s="109"/>
      <c r="BR461" s="109"/>
      <c r="BS461" s="109"/>
      <c r="BT461" s="109"/>
      <c r="BU461" s="109"/>
    </row>
    <row r="462" ht="15.75" customHeight="1">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10"/>
      <c r="X462" s="109"/>
      <c r="Y462" s="109"/>
      <c r="Z462" s="109"/>
      <c r="AA462" s="109"/>
      <c r="AB462" s="109"/>
      <c r="AC462" s="109"/>
      <c r="AD462" s="109"/>
      <c r="AE462" s="109"/>
      <c r="AF462" s="109"/>
      <c r="AG462" s="109"/>
      <c r="AH462" s="109"/>
      <c r="AI462" s="109"/>
      <c r="AJ462" s="109"/>
      <c r="AK462" s="109"/>
      <c r="AL462" s="109"/>
      <c r="AM462" s="109"/>
      <c r="AN462" s="109"/>
      <c r="AO462" s="109"/>
      <c r="AP462" s="109"/>
      <c r="AQ462" s="109"/>
      <c r="AR462" s="109"/>
      <c r="AS462" s="109"/>
      <c r="AT462" s="109"/>
      <c r="AU462" s="109"/>
      <c r="AV462" s="109"/>
      <c r="AW462" s="109"/>
      <c r="AX462" s="109"/>
      <c r="AY462" s="109"/>
      <c r="AZ462" s="109"/>
      <c r="BA462" s="109"/>
      <c r="BB462" s="109"/>
      <c r="BC462" s="109"/>
      <c r="BD462" s="109"/>
      <c r="BE462" s="109"/>
      <c r="BF462" s="109"/>
      <c r="BG462" s="109"/>
      <c r="BH462" s="109"/>
      <c r="BI462" s="109"/>
      <c r="BJ462" s="109"/>
      <c r="BK462" s="109"/>
      <c r="BL462" s="109"/>
      <c r="BM462" s="109"/>
      <c r="BN462" s="109"/>
      <c r="BO462" s="109"/>
      <c r="BP462" s="109"/>
      <c r="BQ462" s="109"/>
      <c r="BR462" s="109"/>
      <c r="BS462" s="109"/>
      <c r="BT462" s="109"/>
      <c r="BU462" s="109"/>
    </row>
    <row r="463" ht="15.75" customHeight="1">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10"/>
      <c r="X463" s="109"/>
      <c r="Y463" s="109"/>
      <c r="Z463" s="109"/>
      <c r="AA463" s="109"/>
      <c r="AB463" s="109"/>
      <c r="AC463" s="109"/>
      <c r="AD463" s="109"/>
      <c r="AE463" s="109"/>
      <c r="AF463" s="109"/>
      <c r="AG463" s="109"/>
      <c r="AH463" s="109"/>
      <c r="AI463" s="109"/>
      <c r="AJ463" s="109"/>
      <c r="AK463" s="109"/>
      <c r="AL463" s="109"/>
      <c r="AM463" s="109"/>
      <c r="AN463" s="109"/>
      <c r="AO463" s="109"/>
      <c r="AP463" s="109"/>
      <c r="AQ463" s="109"/>
      <c r="AR463" s="109"/>
      <c r="AS463" s="109"/>
      <c r="AT463" s="109"/>
      <c r="AU463" s="109"/>
      <c r="AV463" s="109"/>
      <c r="AW463" s="109"/>
      <c r="AX463" s="109"/>
      <c r="AY463" s="109"/>
      <c r="AZ463" s="109"/>
      <c r="BA463" s="109"/>
      <c r="BB463" s="109"/>
      <c r="BC463" s="109"/>
      <c r="BD463" s="109"/>
      <c r="BE463" s="109"/>
      <c r="BF463" s="109"/>
      <c r="BG463" s="109"/>
      <c r="BH463" s="109"/>
      <c r="BI463" s="109"/>
      <c r="BJ463" s="109"/>
      <c r="BK463" s="109"/>
      <c r="BL463" s="109"/>
      <c r="BM463" s="109"/>
      <c r="BN463" s="109"/>
      <c r="BO463" s="109"/>
      <c r="BP463" s="109"/>
      <c r="BQ463" s="109"/>
      <c r="BR463" s="109"/>
      <c r="BS463" s="109"/>
      <c r="BT463" s="109"/>
      <c r="BU463" s="109"/>
    </row>
    <row r="464" ht="15.75" customHeight="1">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10"/>
      <c r="X464" s="109"/>
      <c r="Y464" s="109"/>
      <c r="Z464" s="109"/>
      <c r="AA464" s="109"/>
      <c r="AB464" s="109"/>
      <c r="AC464" s="109"/>
      <c r="AD464" s="109"/>
      <c r="AE464" s="109"/>
      <c r="AF464" s="109"/>
      <c r="AG464" s="109"/>
      <c r="AH464" s="109"/>
      <c r="AI464" s="109"/>
      <c r="AJ464" s="109"/>
      <c r="AK464" s="109"/>
      <c r="AL464" s="109"/>
      <c r="AM464" s="109"/>
      <c r="AN464" s="109"/>
      <c r="AO464" s="109"/>
      <c r="AP464" s="109"/>
      <c r="AQ464" s="109"/>
      <c r="AR464" s="109"/>
      <c r="AS464" s="109"/>
      <c r="AT464" s="109"/>
      <c r="AU464" s="109"/>
      <c r="AV464" s="109"/>
      <c r="AW464" s="109"/>
      <c r="AX464" s="109"/>
      <c r="AY464" s="109"/>
      <c r="AZ464" s="109"/>
      <c r="BA464" s="109"/>
      <c r="BB464" s="109"/>
      <c r="BC464" s="109"/>
      <c r="BD464" s="109"/>
      <c r="BE464" s="109"/>
      <c r="BF464" s="109"/>
      <c r="BG464" s="109"/>
      <c r="BH464" s="109"/>
      <c r="BI464" s="109"/>
      <c r="BJ464" s="109"/>
      <c r="BK464" s="109"/>
      <c r="BL464" s="109"/>
      <c r="BM464" s="109"/>
      <c r="BN464" s="109"/>
      <c r="BO464" s="109"/>
      <c r="BP464" s="109"/>
      <c r="BQ464" s="109"/>
      <c r="BR464" s="109"/>
      <c r="BS464" s="109"/>
      <c r="BT464" s="109"/>
      <c r="BU464" s="109"/>
    </row>
    <row r="465" ht="15.75" customHeight="1">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10"/>
      <c r="X465" s="109"/>
      <c r="Y465" s="109"/>
      <c r="Z465" s="109"/>
      <c r="AA465" s="109"/>
      <c r="AB465" s="109"/>
      <c r="AC465" s="109"/>
      <c r="AD465" s="109"/>
      <c r="AE465" s="109"/>
      <c r="AF465" s="109"/>
      <c r="AG465" s="109"/>
      <c r="AH465" s="109"/>
      <c r="AI465" s="109"/>
      <c r="AJ465" s="109"/>
      <c r="AK465" s="109"/>
      <c r="AL465" s="109"/>
      <c r="AM465" s="109"/>
      <c r="AN465" s="109"/>
      <c r="AO465" s="109"/>
      <c r="AP465" s="109"/>
      <c r="AQ465" s="109"/>
      <c r="AR465" s="109"/>
      <c r="AS465" s="109"/>
      <c r="AT465" s="109"/>
      <c r="AU465" s="109"/>
      <c r="AV465" s="109"/>
      <c r="AW465" s="109"/>
      <c r="AX465" s="109"/>
      <c r="AY465" s="109"/>
      <c r="AZ465" s="109"/>
      <c r="BA465" s="109"/>
      <c r="BB465" s="109"/>
      <c r="BC465" s="109"/>
      <c r="BD465" s="109"/>
      <c r="BE465" s="109"/>
      <c r="BF465" s="109"/>
      <c r="BG465" s="109"/>
      <c r="BH465" s="109"/>
      <c r="BI465" s="109"/>
      <c r="BJ465" s="109"/>
      <c r="BK465" s="109"/>
      <c r="BL465" s="109"/>
      <c r="BM465" s="109"/>
      <c r="BN465" s="109"/>
      <c r="BO465" s="109"/>
      <c r="BP465" s="109"/>
      <c r="BQ465" s="109"/>
      <c r="BR465" s="109"/>
      <c r="BS465" s="109"/>
      <c r="BT465" s="109"/>
      <c r="BU465" s="109"/>
    </row>
    <row r="466" ht="15.75" customHeight="1">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10"/>
      <c r="X466" s="109"/>
      <c r="Y466" s="109"/>
      <c r="Z466" s="109"/>
      <c r="AA466" s="109"/>
      <c r="AB466" s="109"/>
      <c r="AC466" s="109"/>
      <c r="AD466" s="109"/>
      <c r="AE466" s="109"/>
      <c r="AF466" s="109"/>
      <c r="AG466" s="109"/>
      <c r="AH466" s="109"/>
      <c r="AI466" s="109"/>
      <c r="AJ466" s="109"/>
      <c r="AK466" s="109"/>
      <c r="AL466" s="109"/>
      <c r="AM466" s="109"/>
      <c r="AN466" s="109"/>
      <c r="AO466" s="109"/>
      <c r="AP466" s="109"/>
      <c r="AQ466" s="109"/>
      <c r="AR466" s="109"/>
      <c r="AS466" s="109"/>
      <c r="AT466" s="109"/>
      <c r="AU466" s="109"/>
      <c r="AV466" s="109"/>
      <c r="AW466" s="109"/>
      <c r="AX466" s="109"/>
      <c r="AY466" s="109"/>
      <c r="AZ466" s="109"/>
      <c r="BA466" s="109"/>
      <c r="BB466" s="109"/>
      <c r="BC466" s="109"/>
      <c r="BD466" s="109"/>
      <c r="BE466" s="109"/>
      <c r="BF466" s="109"/>
      <c r="BG466" s="109"/>
      <c r="BH466" s="109"/>
      <c r="BI466" s="109"/>
      <c r="BJ466" s="109"/>
      <c r="BK466" s="109"/>
      <c r="BL466" s="109"/>
      <c r="BM466" s="109"/>
      <c r="BN466" s="109"/>
      <c r="BO466" s="109"/>
      <c r="BP466" s="109"/>
      <c r="BQ466" s="109"/>
      <c r="BR466" s="109"/>
      <c r="BS466" s="109"/>
      <c r="BT466" s="109"/>
      <c r="BU466" s="109"/>
    </row>
    <row r="467" ht="15.75" customHeight="1">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10"/>
      <c r="X467" s="109"/>
      <c r="Y467" s="109"/>
      <c r="Z467" s="109"/>
      <c r="AA467" s="109"/>
      <c r="AB467" s="109"/>
      <c r="AC467" s="109"/>
      <c r="AD467" s="109"/>
      <c r="AE467" s="109"/>
      <c r="AF467" s="109"/>
      <c r="AG467" s="109"/>
      <c r="AH467" s="109"/>
      <c r="AI467" s="109"/>
      <c r="AJ467" s="109"/>
      <c r="AK467" s="109"/>
      <c r="AL467" s="109"/>
      <c r="AM467" s="109"/>
      <c r="AN467" s="109"/>
      <c r="AO467" s="109"/>
      <c r="AP467" s="109"/>
      <c r="AQ467" s="109"/>
      <c r="AR467" s="109"/>
      <c r="AS467" s="109"/>
      <c r="AT467" s="109"/>
      <c r="AU467" s="109"/>
      <c r="AV467" s="109"/>
      <c r="AW467" s="109"/>
      <c r="AX467" s="109"/>
      <c r="AY467" s="109"/>
      <c r="AZ467" s="109"/>
      <c r="BA467" s="109"/>
      <c r="BB467" s="109"/>
      <c r="BC467" s="109"/>
      <c r="BD467" s="109"/>
      <c r="BE467" s="109"/>
      <c r="BF467" s="109"/>
      <c r="BG467" s="109"/>
      <c r="BH467" s="109"/>
      <c r="BI467" s="109"/>
      <c r="BJ467" s="109"/>
      <c r="BK467" s="109"/>
      <c r="BL467" s="109"/>
      <c r="BM467" s="109"/>
      <c r="BN467" s="109"/>
      <c r="BO467" s="109"/>
      <c r="BP467" s="109"/>
      <c r="BQ467" s="109"/>
      <c r="BR467" s="109"/>
      <c r="BS467" s="109"/>
      <c r="BT467" s="109"/>
      <c r="BU467" s="109"/>
    </row>
    <row r="468" ht="15.75" customHeight="1">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10"/>
      <c r="X468" s="109"/>
      <c r="Y468" s="109"/>
      <c r="Z468" s="109"/>
      <c r="AA468" s="109"/>
      <c r="AB468" s="109"/>
      <c r="AC468" s="109"/>
      <c r="AD468" s="109"/>
      <c r="AE468" s="109"/>
      <c r="AF468" s="109"/>
      <c r="AG468" s="109"/>
      <c r="AH468" s="109"/>
      <c r="AI468" s="109"/>
      <c r="AJ468" s="109"/>
      <c r="AK468" s="109"/>
      <c r="AL468" s="109"/>
      <c r="AM468" s="109"/>
      <c r="AN468" s="109"/>
      <c r="AO468" s="109"/>
      <c r="AP468" s="109"/>
      <c r="AQ468" s="109"/>
      <c r="AR468" s="109"/>
      <c r="AS468" s="109"/>
      <c r="AT468" s="109"/>
      <c r="AU468" s="109"/>
      <c r="AV468" s="109"/>
      <c r="AW468" s="109"/>
      <c r="AX468" s="109"/>
      <c r="AY468" s="109"/>
      <c r="AZ468" s="109"/>
      <c r="BA468" s="109"/>
      <c r="BB468" s="109"/>
      <c r="BC468" s="109"/>
      <c r="BD468" s="109"/>
      <c r="BE468" s="109"/>
      <c r="BF468" s="109"/>
      <c r="BG468" s="109"/>
      <c r="BH468" s="109"/>
      <c r="BI468" s="109"/>
      <c r="BJ468" s="109"/>
      <c r="BK468" s="109"/>
      <c r="BL468" s="109"/>
      <c r="BM468" s="109"/>
      <c r="BN468" s="109"/>
      <c r="BO468" s="109"/>
      <c r="BP468" s="109"/>
      <c r="BQ468" s="109"/>
      <c r="BR468" s="109"/>
      <c r="BS468" s="109"/>
      <c r="BT468" s="109"/>
      <c r="BU468" s="109"/>
    </row>
    <row r="469" ht="15.75" customHeight="1">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10"/>
      <c r="X469" s="109"/>
      <c r="Y469" s="109"/>
      <c r="Z469" s="109"/>
      <c r="AA469" s="109"/>
      <c r="AB469" s="109"/>
      <c r="AC469" s="109"/>
      <c r="AD469" s="109"/>
      <c r="AE469" s="109"/>
      <c r="AF469" s="109"/>
      <c r="AG469" s="109"/>
      <c r="AH469" s="109"/>
      <c r="AI469" s="109"/>
      <c r="AJ469" s="109"/>
      <c r="AK469" s="109"/>
      <c r="AL469" s="109"/>
      <c r="AM469" s="109"/>
      <c r="AN469" s="109"/>
      <c r="AO469" s="109"/>
      <c r="AP469" s="109"/>
      <c r="AQ469" s="109"/>
      <c r="AR469" s="109"/>
      <c r="AS469" s="109"/>
      <c r="AT469" s="109"/>
      <c r="AU469" s="109"/>
      <c r="AV469" s="109"/>
      <c r="AW469" s="109"/>
      <c r="AX469" s="109"/>
      <c r="AY469" s="109"/>
      <c r="AZ469" s="109"/>
      <c r="BA469" s="109"/>
      <c r="BB469" s="109"/>
      <c r="BC469" s="109"/>
      <c r="BD469" s="109"/>
      <c r="BE469" s="109"/>
      <c r="BF469" s="109"/>
      <c r="BG469" s="109"/>
      <c r="BH469" s="109"/>
      <c r="BI469" s="109"/>
      <c r="BJ469" s="109"/>
      <c r="BK469" s="109"/>
      <c r="BL469" s="109"/>
      <c r="BM469" s="109"/>
      <c r="BN469" s="109"/>
      <c r="BO469" s="109"/>
      <c r="BP469" s="109"/>
      <c r="BQ469" s="109"/>
      <c r="BR469" s="109"/>
      <c r="BS469" s="109"/>
      <c r="BT469" s="109"/>
      <c r="BU469" s="109"/>
    </row>
    <row r="470" ht="15.75" customHeight="1">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10"/>
      <c r="X470" s="109"/>
      <c r="Y470" s="109"/>
      <c r="Z470" s="109"/>
      <c r="AA470" s="109"/>
      <c r="AB470" s="109"/>
      <c r="AC470" s="109"/>
      <c r="AD470" s="109"/>
      <c r="AE470" s="109"/>
      <c r="AF470" s="109"/>
      <c r="AG470" s="109"/>
      <c r="AH470" s="109"/>
      <c r="AI470" s="109"/>
      <c r="AJ470" s="109"/>
      <c r="AK470" s="109"/>
      <c r="AL470" s="109"/>
      <c r="AM470" s="109"/>
      <c r="AN470" s="109"/>
      <c r="AO470" s="109"/>
      <c r="AP470" s="109"/>
      <c r="AQ470" s="109"/>
      <c r="AR470" s="109"/>
      <c r="AS470" s="109"/>
      <c r="AT470" s="109"/>
      <c r="AU470" s="109"/>
      <c r="AV470" s="109"/>
      <c r="AW470" s="109"/>
      <c r="AX470" s="109"/>
      <c r="AY470" s="109"/>
      <c r="AZ470" s="109"/>
      <c r="BA470" s="109"/>
      <c r="BB470" s="109"/>
      <c r="BC470" s="109"/>
      <c r="BD470" s="109"/>
      <c r="BE470" s="109"/>
      <c r="BF470" s="109"/>
      <c r="BG470" s="109"/>
      <c r="BH470" s="109"/>
      <c r="BI470" s="109"/>
      <c r="BJ470" s="109"/>
      <c r="BK470" s="109"/>
      <c r="BL470" s="109"/>
      <c r="BM470" s="109"/>
      <c r="BN470" s="109"/>
      <c r="BO470" s="109"/>
      <c r="BP470" s="109"/>
      <c r="BQ470" s="109"/>
      <c r="BR470" s="109"/>
      <c r="BS470" s="109"/>
      <c r="BT470" s="109"/>
      <c r="BU470" s="109"/>
    </row>
    <row r="471" ht="15.75" customHeight="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10"/>
      <c r="X471" s="109"/>
      <c r="Y471" s="109"/>
      <c r="Z471" s="109"/>
      <c r="AA471" s="109"/>
      <c r="AB471" s="109"/>
      <c r="AC471" s="109"/>
      <c r="AD471" s="109"/>
      <c r="AE471" s="109"/>
      <c r="AF471" s="109"/>
      <c r="AG471" s="109"/>
      <c r="AH471" s="109"/>
      <c r="AI471" s="109"/>
      <c r="AJ471" s="109"/>
      <c r="AK471" s="109"/>
      <c r="AL471" s="109"/>
      <c r="AM471" s="109"/>
      <c r="AN471" s="109"/>
      <c r="AO471" s="109"/>
      <c r="AP471" s="109"/>
      <c r="AQ471" s="109"/>
      <c r="AR471" s="109"/>
      <c r="AS471" s="109"/>
      <c r="AT471" s="109"/>
      <c r="AU471" s="109"/>
      <c r="AV471" s="109"/>
      <c r="AW471" s="109"/>
      <c r="AX471" s="109"/>
      <c r="AY471" s="109"/>
      <c r="AZ471" s="109"/>
      <c r="BA471" s="109"/>
      <c r="BB471" s="109"/>
      <c r="BC471" s="109"/>
      <c r="BD471" s="109"/>
      <c r="BE471" s="109"/>
      <c r="BF471" s="109"/>
      <c r="BG471" s="109"/>
      <c r="BH471" s="109"/>
      <c r="BI471" s="109"/>
      <c r="BJ471" s="109"/>
      <c r="BK471" s="109"/>
      <c r="BL471" s="109"/>
      <c r="BM471" s="109"/>
      <c r="BN471" s="109"/>
      <c r="BO471" s="109"/>
      <c r="BP471" s="109"/>
      <c r="BQ471" s="109"/>
      <c r="BR471" s="109"/>
      <c r="BS471" s="109"/>
      <c r="BT471" s="109"/>
      <c r="BU471" s="109"/>
    </row>
    <row r="472" ht="15.75" customHeight="1">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10"/>
      <c r="X472" s="109"/>
      <c r="Y472" s="109"/>
      <c r="Z472" s="109"/>
      <c r="AA472" s="109"/>
      <c r="AB472" s="109"/>
      <c r="AC472" s="109"/>
      <c r="AD472" s="109"/>
      <c r="AE472" s="109"/>
      <c r="AF472" s="109"/>
      <c r="AG472" s="109"/>
      <c r="AH472" s="109"/>
      <c r="AI472" s="109"/>
      <c r="AJ472" s="109"/>
      <c r="AK472" s="109"/>
      <c r="AL472" s="109"/>
      <c r="AM472" s="109"/>
      <c r="AN472" s="109"/>
      <c r="AO472" s="109"/>
      <c r="AP472" s="109"/>
      <c r="AQ472" s="109"/>
      <c r="AR472" s="109"/>
      <c r="AS472" s="109"/>
      <c r="AT472" s="109"/>
      <c r="AU472" s="109"/>
      <c r="AV472" s="109"/>
      <c r="AW472" s="109"/>
      <c r="AX472" s="109"/>
      <c r="AY472" s="109"/>
      <c r="AZ472" s="109"/>
      <c r="BA472" s="109"/>
      <c r="BB472" s="109"/>
      <c r="BC472" s="109"/>
      <c r="BD472" s="109"/>
      <c r="BE472" s="109"/>
      <c r="BF472" s="109"/>
      <c r="BG472" s="109"/>
      <c r="BH472" s="109"/>
      <c r="BI472" s="109"/>
      <c r="BJ472" s="109"/>
      <c r="BK472" s="109"/>
      <c r="BL472" s="109"/>
      <c r="BM472" s="109"/>
      <c r="BN472" s="109"/>
      <c r="BO472" s="109"/>
      <c r="BP472" s="109"/>
      <c r="BQ472" s="109"/>
      <c r="BR472" s="109"/>
      <c r="BS472" s="109"/>
      <c r="BT472" s="109"/>
      <c r="BU472" s="109"/>
    </row>
    <row r="473" ht="15.75" customHeight="1">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10"/>
      <c r="X473" s="109"/>
      <c r="Y473" s="109"/>
      <c r="Z473" s="109"/>
      <c r="AA473" s="109"/>
      <c r="AB473" s="109"/>
      <c r="AC473" s="109"/>
      <c r="AD473" s="109"/>
      <c r="AE473" s="109"/>
      <c r="AF473" s="109"/>
      <c r="AG473" s="109"/>
      <c r="AH473" s="109"/>
      <c r="AI473" s="109"/>
      <c r="AJ473" s="109"/>
      <c r="AK473" s="109"/>
      <c r="AL473" s="109"/>
      <c r="AM473" s="109"/>
      <c r="AN473" s="109"/>
      <c r="AO473" s="109"/>
      <c r="AP473" s="109"/>
      <c r="AQ473" s="109"/>
      <c r="AR473" s="109"/>
      <c r="AS473" s="109"/>
      <c r="AT473" s="109"/>
      <c r="AU473" s="109"/>
      <c r="AV473" s="109"/>
      <c r="AW473" s="109"/>
      <c r="AX473" s="109"/>
      <c r="AY473" s="109"/>
      <c r="AZ473" s="109"/>
      <c r="BA473" s="109"/>
      <c r="BB473" s="109"/>
      <c r="BC473" s="109"/>
      <c r="BD473" s="109"/>
      <c r="BE473" s="109"/>
      <c r="BF473" s="109"/>
      <c r="BG473" s="109"/>
      <c r="BH473" s="109"/>
      <c r="BI473" s="109"/>
      <c r="BJ473" s="109"/>
      <c r="BK473" s="109"/>
      <c r="BL473" s="109"/>
      <c r="BM473" s="109"/>
      <c r="BN473" s="109"/>
      <c r="BO473" s="109"/>
      <c r="BP473" s="109"/>
      <c r="BQ473" s="109"/>
      <c r="BR473" s="109"/>
      <c r="BS473" s="109"/>
      <c r="BT473" s="109"/>
      <c r="BU473" s="109"/>
    </row>
    <row r="474" ht="15.75" customHeight="1">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10"/>
      <c r="X474" s="109"/>
      <c r="Y474" s="109"/>
      <c r="Z474" s="109"/>
      <c r="AA474" s="109"/>
      <c r="AB474" s="109"/>
      <c r="AC474" s="109"/>
      <c r="AD474" s="109"/>
      <c r="AE474" s="109"/>
      <c r="AF474" s="109"/>
      <c r="AG474" s="109"/>
      <c r="AH474" s="109"/>
      <c r="AI474" s="109"/>
      <c r="AJ474" s="109"/>
      <c r="AK474" s="109"/>
      <c r="AL474" s="109"/>
      <c r="AM474" s="109"/>
      <c r="AN474" s="109"/>
      <c r="AO474" s="109"/>
      <c r="AP474" s="109"/>
      <c r="AQ474" s="109"/>
      <c r="AR474" s="109"/>
      <c r="AS474" s="109"/>
      <c r="AT474" s="109"/>
      <c r="AU474" s="109"/>
      <c r="AV474" s="109"/>
      <c r="AW474" s="109"/>
      <c r="AX474" s="109"/>
      <c r="AY474" s="109"/>
      <c r="AZ474" s="109"/>
      <c r="BA474" s="109"/>
      <c r="BB474" s="109"/>
      <c r="BC474" s="109"/>
      <c r="BD474" s="109"/>
      <c r="BE474" s="109"/>
      <c r="BF474" s="109"/>
      <c r="BG474" s="109"/>
      <c r="BH474" s="109"/>
      <c r="BI474" s="109"/>
      <c r="BJ474" s="109"/>
      <c r="BK474" s="109"/>
      <c r="BL474" s="109"/>
      <c r="BM474" s="109"/>
      <c r="BN474" s="109"/>
      <c r="BO474" s="109"/>
      <c r="BP474" s="109"/>
      <c r="BQ474" s="109"/>
      <c r="BR474" s="109"/>
      <c r="BS474" s="109"/>
      <c r="BT474" s="109"/>
      <c r="BU474" s="109"/>
    </row>
    <row r="475" ht="15.75" customHeight="1">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10"/>
      <c r="X475" s="109"/>
      <c r="Y475" s="109"/>
      <c r="Z475" s="109"/>
      <c r="AA475" s="109"/>
      <c r="AB475" s="109"/>
      <c r="AC475" s="109"/>
      <c r="AD475" s="109"/>
      <c r="AE475" s="109"/>
      <c r="AF475" s="109"/>
      <c r="AG475" s="109"/>
      <c r="AH475" s="109"/>
      <c r="AI475" s="109"/>
      <c r="AJ475" s="109"/>
      <c r="AK475" s="109"/>
      <c r="AL475" s="109"/>
      <c r="AM475" s="109"/>
      <c r="AN475" s="109"/>
      <c r="AO475" s="109"/>
      <c r="AP475" s="109"/>
      <c r="AQ475" s="109"/>
      <c r="AR475" s="109"/>
      <c r="AS475" s="109"/>
      <c r="AT475" s="109"/>
      <c r="AU475" s="109"/>
      <c r="AV475" s="109"/>
      <c r="AW475" s="109"/>
      <c r="AX475" s="109"/>
      <c r="AY475" s="109"/>
      <c r="AZ475" s="109"/>
      <c r="BA475" s="109"/>
      <c r="BB475" s="109"/>
      <c r="BC475" s="109"/>
      <c r="BD475" s="109"/>
      <c r="BE475" s="109"/>
      <c r="BF475" s="109"/>
      <c r="BG475" s="109"/>
      <c r="BH475" s="109"/>
      <c r="BI475" s="109"/>
      <c r="BJ475" s="109"/>
      <c r="BK475" s="109"/>
      <c r="BL475" s="109"/>
      <c r="BM475" s="109"/>
      <c r="BN475" s="109"/>
      <c r="BO475" s="109"/>
      <c r="BP475" s="109"/>
      <c r="BQ475" s="109"/>
      <c r="BR475" s="109"/>
      <c r="BS475" s="109"/>
      <c r="BT475" s="109"/>
      <c r="BU475" s="109"/>
    </row>
    <row r="476" ht="15.75" customHeight="1">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10"/>
      <c r="X476" s="109"/>
      <c r="Y476" s="109"/>
      <c r="Z476" s="109"/>
      <c r="AA476" s="109"/>
      <c r="AB476" s="109"/>
      <c r="AC476" s="109"/>
      <c r="AD476" s="109"/>
      <c r="AE476" s="109"/>
      <c r="AF476" s="109"/>
      <c r="AG476" s="109"/>
      <c r="AH476" s="109"/>
      <c r="AI476" s="109"/>
      <c r="AJ476" s="109"/>
      <c r="AK476" s="109"/>
      <c r="AL476" s="109"/>
      <c r="AM476" s="109"/>
      <c r="AN476" s="109"/>
      <c r="AO476" s="109"/>
      <c r="AP476" s="109"/>
      <c r="AQ476" s="109"/>
      <c r="AR476" s="109"/>
      <c r="AS476" s="109"/>
      <c r="AT476" s="109"/>
      <c r="AU476" s="109"/>
      <c r="AV476" s="109"/>
      <c r="AW476" s="109"/>
      <c r="AX476" s="109"/>
      <c r="AY476" s="109"/>
      <c r="AZ476" s="109"/>
      <c r="BA476" s="109"/>
      <c r="BB476" s="109"/>
      <c r="BC476" s="109"/>
      <c r="BD476" s="109"/>
      <c r="BE476" s="109"/>
      <c r="BF476" s="109"/>
      <c r="BG476" s="109"/>
      <c r="BH476" s="109"/>
      <c r="BI476" s="109"/>
      <c r="BJ476" s="109"/>
      <c r="BK476" s="109"/>
      <c r="BL476" s="109"/>
      <c r="BM476" s="109"/>
      <c r="BN476" s="109"/>
      <c r="BO476" s="109"/>
      <c r="BP476" s="109"/>
      <c r="BQ476" s="109"/>
      <c r="BR476" s="109"/>
      <c r="BS476" s="109"/>
      <c r="BT476" s="109"/>
      <c r="BU476" s="109"/>
    </row>
    <row r="477" ht="15.75" customHeight="1">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10"/>
      <c r="X477" s="109"/>
      <c r="Y477" s="109"/>
      <c r="Z477" s="109"/>
      <c r="AA477" s="109"/>
      <c r="AB477" s="109"/>
      <c r="AC477" s="109"/>
      <c r="AD477" s="109"/>
      <c r="AE477" s="109"/>
      <c r="AF477" s="109"/>
      <c r="AG477" s="109"/>
      <c r="AH477" s="109"/>
      <c r="AI477" s="109"/>
      <c r="AJ477" s="109"/>
      <c r="AK477" s="109"/>
      <c r="AL477" s="109"/>
      <c r="AM477" s="109"/>
      <c r="AN477" s="109"/>
      <c r="AO477" s="109"/>
      <c r="AP477" s="109"/>
      <c r="AQ477" s="109"/>
      <c r="AR477" s="109"/>
      <c r="AS477" s="109"/>
      <c r="AT477" s="109"/>
      <c r="AU477" s="109"/>
      <c r="AV477" s="109"/>
      <c r="AW477" s="109"/>
      <c r="AX477" s="109"/>
      <c r="AY477" s="109"/>
      <c r="AZ477" s="109"/>
      <c r="BA477" s="109"/>
      <c r="BB477" s="109"/>
      <c r="BC477" s="109"/>
      <c r="BD477" s="109"/>
      <c r="BE477" s="109"/>
      <c r="BF477" s="109"/>
      <c r="BG477" s="109"/>
      <c r="BH477" s="109"/>
      <c r="BI477" s="109"/>
      <c r="BJ477" s="109"/>
      <c r="BK477" s="109"/>
      <c r="BL477" s="109"/>
      <c r="BM477" s="109"/>
      <c r="BN477" s="109"/>
      <c r="BO477" s="109"/>
      <c r="BP477" s="109"/>
      <c r="BQ477" s="109"/>
      <c r="BR477" s="109"/>
      <c r="BS477" s="109"/>
      <c r="BT477" s="109"/>
      <c r="BU477" s="109"/>
    </row>
    <row r="478" ht="15.75" customHeight="1">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10"/>
      <c r="X478" s="109"/>
      <c r="Y478" s="109"/>
      <c r="Z478" s="109"/>
      <c r="AA478" s="109"/>
      <c r="AB478" s="109"/>
      <c r="AC478" s="109"/>
      <c r="AD478" s="109"/>
      <c r="AE478" s="109"/>
      <c r="AF478" s="109"/>
      <c r="AG478" s="109"/>
      <c r="AH478" s="109"/>
      <c r="AI478" s="109"/>
      <c r="AJ478" s="109"/>
      <c r="AK478" s="109"/>
      <c r="AL478" s="109"/>
      <c r="AM478" s="109"/>
      <c r="AN478" s="109"/>
      <c r="AO478" s="109"/>
      <c r="AP478" s="109"/>
      <c r="AQ478" s="109"/>
      <c r="AR478" s="109"/>
      <c r="AS478" s="109"/>
      <c r="AT478" s="109"/>
      <c r="AU478" s="109"/>
      <c r="AV478" s="109"/>
      <c r="AW478" s="109"/>
      <c r="AX478" s="109"/>
      <c r="AY478" s="109"/>
      <c r="AZ478" s="109"/>
      <c r="BA478" s="109"/>
      <c r="BB478" s="109"/>
      <c r="BC478" s="109"/>
      <c r="BD478" s="109"/>
      <c r="BE478" s="109"/>
      <c r="BF478" s="109"/>
      <c r="BG478" s="109"/>
      <c r="BH478" s="109"/>
      <c r="BI478" s="109"/>
      <c r="BJ478" s="109"/>
      <c r="BK478" s="109"/>
      <c r="BL478" s="109"/>
      <c r="BM478" s="109"/>
      <c r="BN478" s="109"/>
      <c r="BO478" s="109"/>
      <c r="BP478" s="109"/>
      <c r="BQ478" s="109"/>
      <c r="BR478" s="109"/>
      <c r="BS478" s="109"/>
      <c r="BT478" s="109"/>
      <c r="BU478" s="109"/>
    </row>
    <row r="479" ht="15.75" customHeight="1">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10"/>
      <c r="X479" s="109"/>
      <c r="Y479" s="109"/>
      <c r="Z479" s="109"/>
      <c r="AA479" s="109"/>
      <c r="AB479" s="109"/>
      <c r="AC479" s="109"/>
      <c r="AD479" s="109"/>
      <c r="AE479" s="109"/>
      <c r="AF479" s="109"/>
      <c r="AG479" s="109"/>
      <c r="AH479" s="109"/>
      <c r="AI479" s="109"/>
      <c r="AJ479" s="109"/>
      <c r="AK479" s="109"/>
      <c r="AL479" s="109"/>
      <c r="AM479" s="109"/>
      <c r="AN479" s="109"/>
      <c r="AO479" s="109"/>
      <c r="AP479" s="109"/>
      <c r="AQ479" s="109"/>
      <c r="AR479" s="109"/>
      <c r="AS479" s="109"/>
      <c r="AT479" s="109"/>
      <c r="AU479" s="109"/>
      <c r="AV479" s="109"/>
      <c r="AW479" s="109"/>
      <c r="AX479" s="109"/>
      <c r="AY479" s="109"/>
      <c r="AZ479" s="109"/>
      <c r="BA479" s="109"/>
      <c r="BB479" s="109"/>
      <c r="BC479" s="109"/>
      <c r="BD479" s="109"/>
      <c r="BE479" s="109"/>
      <c r="BF479" s="109"/>
      <c r="BG479" s="109"/>
      <c r="BH479" s="109"/>
      <c r="BI479" s="109"/>
      <c r="BJ479" s="109"/>
      <c r="BK479" s="109"/>
      <c r="BL479" s="109"/>
      <c r="BM479" s="109"/>
      <c r="BN479" s="109"/>
      <c r="BO479" s="109"/>
      <c r="BP479" s="109"/>
      <c r="BQ479" s="109"/>
      <c r="BR479" s="109"/>
      <c r="BS479" s="109"/>
      <c r="BT479" s="109"/>
      <c r="BU479" s="109"/>
    </row>
    <row r="480" ht="15.75" customHeight="1">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10"/>
      <c r="X480" s="109"/>
      <c r="Y480" s="109"/>
      <c r="Z480" s="109"/>
      <c r="AA480" s="109"/>
      <c r="AB480" s="109"/>
      <c r="AC480" s="109"/>
      <c r="AD480" s="109"/>
      <c r="AE480" s="109"/>
      <c r="AF480" s="109"/>
      <c r="AG480" s="109"/>
      <c r="AH480" s="109"/>
      <c r="AI480" s="109"/>
      <c r="AJ480" s="109"/>
      <c r="AK480" s="109"/>
      <c r="AL480" s="109"/>
      <c r="AM480" s="109"/>
      <c r="AN480" s="109"/>
      <c r="AO480" s="109"/>
      <c r="AP480" s="109"/>
      <c r="AQ480" s="109"/>
      <c r="AR480" s="109"/>
      <c r="AS480" s="109"/>
      <c r="AT480" s="109"/>
      <c r="AU480" s="109"/>
      <c r="AV480" s="109"/>
      <c r="AW480" s="109"/>
      <c r="AX480" s="109"/>
      <c r="AY480" s="109"/>
      <c r="AZ480" s="109"/>
      <c r="BA480" s="109"/>
      <c r="BB480" s="109"/>
      <c r="BC480" s="109"/>
      <c r="BD480" s="109"/>
      <c r="BE480" s="109"/>
      <c r="BF480" s="109"/>
      <c r="BG480" s="109"/>
      <c r="BH480" s="109"/>
      <c r="BI480" s="109"/>
      <c r="BJ480" s="109"/>
      <c r="BK480" s="109"/>
      <c r="BL480" s="109"/>
      <c r="BM480" s="109"/>
      <c r="BN480" s="109"/>
      <c r="BO480" s="109"/>
      <c r="BP480" s="109"/>
      <c r="BQ480" s="109"/>
      <c r="BR480" s="109"/>
      <c r="BS480" s="109"/>
      <c r="BT480" s="109"/>
      <c r="BU480" s="109"/>
    </row>
    <row r="481" ht="15.75" customHeight="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10"/>
      <c r="X481" s="109"/>
      <c r="Y481" s="109"/>
      <c r="Z481" s="109"/>
      <c r="AA481" s="109"/>
      <c r="AB481" s="109"/>
      <c r="AC481" s="109"/>
      <c r="AD481" s="109"/>
      <c r="AE481" s="109"/>
      <c r="AF481" s="109"/>
      <c r="AG481" s="109"/>
      <c r="AH481" s="109"/>
      <c r="AI481" s="109"/>
      <c r="AJ481" s="109"/>
      <c r="AK481" s="109"/>
      <c r="AL481" s="109"/>
      <c r="AM481" s="109"/>
      <c r="AN481" s="109"/>
      <c r="AO481" s="109"/>
      <c r="AP481" s="109"/>
      <c r="AQ481" s="109"/>
      <c r="AR481" s="109"/>
      <c r="AS481" s="109"/>
      <c r="AT481" s="109"/>
      <c r="AU481" s="109"/>
      <c r="AV481" s="109"/>
      <c r="AW481" s="109"/>
      <c r="AX481" s="109"/>
      <c r="AY481" s="109"/>
      <c r="AZ481" s="109"/>
      <c r="BA481" s="109"/>
      <c r="BB481" s="109"/>
      <c r="BC481" s="109"/>
      <c r="BD481" s="109"/>
      <c r="BE481" s="109"/>
      <c r="BF481" s="109"/>
      <c r="BG481" s="109"/>
      <c r="BH481" s="109"/>
      <c r="BI481" s="109"/>
      <c r="BJ481" s="109"/>
      <c r="BK481" s="109"/>
      <c r="BL481" s="109"/>
      <c r="BM481" s="109"/>
      <c r="BN481" s="109"/>
      <c r="BO481" s="109"/>
      <c r="BP481" s="109"/>
      <c r="BQ481" s="109"/>
      <c r="BR481" s="109"/>
      <c r="BS481" s="109"/>
      <c r="BT481" s="109"/>
      <c r="BU481" s="109"/>
    </row>
    <row r="482" ht="15.75" customHeight="1">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10"/>
      <c r="X482" s="109"/>
      <c r="Y482" s="109"/>
      <c r="Z482" s="109"/>
      <c r="AA482" s="109"/>
      <c r="AB482" s="109"/>
      <c r="AC482" s="109"/>
      <c r="AD482" s="109"/>
      <c r="AE482" s="109"/>
      <c r="AF482" s="109"/>
      <c r="AG482" s="109"/>
      <c r="AH482" s="109"/>
      <c r="AI482" s="109"/>
      <c r="AJ482" s="109"/>
      <c r="AK482" s="109"/>
      <c r="AL482" s="109"/>
      <c r="AM482" s="109"/>
      <c r="AN482" s="109"/>
      <c r="AO482" s="109"/>
      <c r="AP482" s="109"/>
      <c r="AQ482" s="109"/>
      <c r="AR482" s="109"/>
      <c r="AS482" s="109"/>
      <c r="AT482" s="109"/>
      <c r="AU482" s="109"/>
      <c r="AV482" s="109"/>
      <c r="AW482" s="109"/>
      <c r="AX482" s="109"/>
      <c r="AY482" s="109"/>
      <c r="AZ482" s="109"/>
      <c r="BA482" s="109"/>
      <c r="BB482" s="109"/>
      <c r="BC482" s="109"/>
      <c r="BD482" s="109"/>
      <c r="BE482" s="109"/>
      <c r="BF482" s="109"/>
      <c r="BG482" s="109"/>
      <c r="BH482" s="109"/>
      <c r="BI482" s="109"/>
      <c r="BJ482" s="109"/>
      <c r="BK482" s="109"/>
      <c r="BL482" s="109"/>
      <c r="BM482" s="109"/>
      <c r="BN482" s="109"/>
      <c r="BO482" s="109"/>
      <c r="BP482" s="109"/>
      <c r="BQ482" s="109"/>
      <c r="BR482" s="109"/>
      <c r="BS482" s="109"/>
      <c r="BT482" s="109"/>
      <c r="BU482" s="109"/>
    </row>
    <row r="483" ht="15.75" customHeight="1">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10"/>
      <c r="X483" s="109"/>
      <c r="Y483" s="109"/>
      <c r="Z483" s="109"/>
      <c r="AA483" s="109"/>
      <c r="AB483" s="109"/>
      <c r="AC483" s="109"/>
      <c r="AD483" s="109"/>
      <c r="AE483" s="109"/>
      <c r="AF483" s="109"/>
      <c r="AG483" s="109"/>
      <c r="AH483" s="109"/>
      <c r="AI483" s="109"/>
      <c r="AJ483" s="109"/>
      <c r="AK483" s="109"/>
      <c r="AL483" s="109"/>
      <c r="AM483" s="109"/>
      <c r="AN483" s="109"/>
      <c r="AO483" s="109"/>
      <c r="AP483" s="109"/>
      <c r="AQ483" s="109"/>
      <c r="AR483" s="109"/>
      <c r="AS483" s="109"/>
      <c r="AT483" s="109"/>
      <c r="AU483" s="109"/>
      <c r="AV483" s="109"/>
      <c r="AW483" s="109"/>
      <c r="AX483" s="109"/>
      <c r="AY483" s="109"/>
      <c r="AZ483" s="109"/>
      <c r="BA483" s="109"/>
      <c r="BB483" s="109"/>
      <c r="BC483" s="109"/>
      <c r="BD483" s="109"/>
      <c r="BE483" s="109"/>
      <c r="BF483" s="109"/>
      <c r="BG483" s="109"/>
      <c r="BH483" s="109"/>
      <c r="BI483" s="109"/>
      <c r="BJ483" s="109"/>
      <c r="BK483" s="109"/>
      <c r="BL483" s="109"/>
      <c r="BM483" s="109"/>
      <c r="BN483" s="109"/>
      <c r="BO483" s="109"/>
      <c r="BP483" s="109"/>
      <c r="BQ483" s="109"/>
      <c r="BR483" s="109"/>
      <c r="BS483" s="109"/>
      <c r="BT483" s="109"/>
      <c r="BU483" s="109"/>
    </row>
    <row r="484" ht="15.75" customHeight="1">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10"/>
      <c r="X484" s="109"/>
      <c r="Y484" s="109"/>
      <c r="Z484" s="109"/>
      <c r="AA484" s="109"/>
      <c r="AB484" s="109"/>
      <c r="AC484" s="109"/>
      <c r="AD484" s="109"/>
      <c r="AE484" s="109"/>
      <c r="AF484" s="109"/>
      <c r="AG484" s="109"/>
      <c r="AH484" s="109"/>
      <c r="AI484" s="109"/>
      <c r="AJ484" s="109"/>
      <c r="AK484" s="109"/>
      <c r="AL484" s="109"/>
      <c r="AM484" s="109"/>
      <c r="AN484" s="109"/>
      <c r="AO484" s="109"/>
      <c r="AP484" s="109"/>
      <c r="AQ484" s="109"/>
      <c r="AR484" s="109"/>
      <c r="AS484" s="109"/>
      <c r="AT484" s="109"/>
      <c r="AU484" s="109"/>
      <c r="AV484" s="109"/>
      <c r="AW484" s="109"/>
      <c r="AX484" s="109"/>
      <c r="AY484" s="109"/>
      <c r="AZ484" s="109"/>
      <c r="BA484" s="109"/>
      <c r="BB484" s="109"/>
      <c r="BC484" s="109"/>
      <c r="BD484" s="109"/>
      <c r="BE484" s="109"/>
      <c r="BF484" s="109"/>
      <c r="BG484" s="109"/>
      <c r="BH484" s="109"/>
      <c r="BI484" s="109"/>
      <c r="BJ484" s="109"/>
      <c r="BK484" s="109"/>
      <c r="BL484" s="109"/>
      <c r="BM484" s="109"/>
      <c r="BN484" s="109"/>
      <c r="BO484" s="109"/>
      <c r="BP484" s="109"/>
      <c r="BQ484" s="109"/>
      <c r="BR484" s="109"/>
      <c r="BS484" s="109"/>
      <c r="BT484" s="109"/>
      <c r="BU484" s="109"/>
    </row>
    <row r="485" ht="15.75" customHeight="1">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10"/>
      <c r="X485" s="109"/>
      <c r="Y485" s="109"/>
      <c r="Z485" s="109"/>
      <c r="AA485" s="109"/>
      <c r="AB485" s="109"/>
      <c r="AC485" s="109"/>
      <c r="AD485" s="109"/>
      <c r="AE485" s="109"/>
      <c r="AF485" s="109"/>
      <c r="AG485" s="109"/>
      <c r="AH485" s="109"/>
      <c r="AI485" s="109"/>
      <c r="AJ485" s="109"/>
      <c r="AK485" s="109"/>
      <c r="AL485" s="109"/>
      <c r="AM485" s="109"/>
      <c r="AN485" s="109"/>
      <c r="AO485" s="109"/>
      <c r="AP485" s="109"/>
      <c r="AQ485" s="109"/>
      <c r="AR485" s="109"/>
      <c r="AS485" s="109"/>
      <c r="AT485" s="109"/>
      <c r="AU485" s="109"/>
      <c r="AV485" s="109"/>
      <c r="AW485" s="109"/>
      <c r="AX485" s="109"/>
      <c r="AY485" s="109"/>
      <c r="AZ485" s="109"/>
      <c r="BA485" s="109"/>
      <c r="BB485" s="109"/>
      <c r="BC485" s="109"/>
      <c r="BD485" s="109"/>
      <c r="BE485" s="109"/>
      <c r="BF485" s="109"/>
      <c r="BG485" s="109"/>
      <c r="BH485" s="109"/>
      <c r="BI485" s="109"/>
      <c r="BJ485" s="109"/>
      <c r="BK485" s="109"/>
      <c r="BL485" s="109"/>
      <c r="BM485" s="109"/>
      <c r="BN485" s="109"/>
      <c r="BO485" s="109"/>
      <c r="BP485" s="109"/>
      <c r="BQ485" s="109"/>
      <c r="BR485" s="109"/>
      <c r="BS485" s="109"/>
      <c r="BT485" s="109"/>
      <c r="BU485" s="109"/>
    </row>
    <row r="486" ht="15.75" customHeight="1">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10"/>
      <c r="X486" s="109"/>
      <c r="Y486" s="109"/>
      <c r="Z486" s="109"/>
      <c r="AA486" s="109"/>
      <c r="AB486" s="109"/>
      <c r="AC486" s="109"/>
      <c r="AD486" s="109"/>
      <c r="AE486" s="109"/>
      <c r="AF486" s="109"/>
      <c r="AG486" s="109"/>
      <c r="AH486" s="109"/>
      <c r="AI486" s="109"/>
      <c r="AJ486" s="109"/>
      <c r="AK486" s="109"/>
      <c r="AL486" s="109"/>
      <c r="AM486" s="109"/>
      <c r="AN486" s="109"/>
      <c r="AO486" s="109"/>
      <c r="AP486" s="109"/>
      <c r="AQ486" s="109"/>
      <c r="AR486" s="109"/>
      <c r="AS486" s="109"/>
      <c r="AT486" s="109"/>
      <c r="AU486" s="109"/>
      <c r="AV486" s="109"/>
      <c r="AW486" s="109"/>
      <c r="AX486" s="109"/>
      <c r="AY486" s="109"/>
      <c r="AZ486" s="109"/>
      <c r="BA486" s="109"/>
      <c r="BB486" s="109"/>
      <c r="BC486" s="109"/>
      <c r="BD486" s="109"/>
      <c r="BE486" s="109"/>
      <c r="BF486" s="109"/>
      <c r="BG486" s="109"/>
      <c r="BH486" s="109"/>
      <c r="BI486" s="109"/>
      <c r="BJ486" s="109"/>
      <c r="BK486" s="109"/>
      <c r="BL486" s="109"/>
      <c r="BM486" s="109"/>
      <c r="BN486" s="109"/>
      <c r="BO486" s="109"/>
      <c r="BP486" s="109"/>
      <c r="BQ486" s="109"/>
      <c r="BR486" s="109"/>
      <c r="BS486" s="109"/>
      <c r="BT486" s="109"/>
      <c r="BU486" s="109"/>
    </row>
    <row r="487" ht="15.75" customHeight="1">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10"/>
      <c r="X487" s="109"/>
      <c r="Y487" s="109"/>
      <c r="Z487" s="109"/>
      <c r="AA487" s="109"/>
      <c r="AB487" s="109"/>
      <c r="AC487" s="109"/>
      <c r="AD487" s="109"/>
      <c r="AE487" s="109"/>
      <c r="AF487" s="109"/>
      <c r="AG487" s="109"/>
      <c r="AH487" s="109"/>
      <c r="AI487" s="109"/>
      <c r="AJ487" s="109"/>
      <c r="AK487" s="109"/>
      <c r="AL487" s="109"/>
      <c r="AM487" s="109"/>
      <c r="AN487" s="109"/>
      <c r="AO487" s="109"/>
      <c r="AP487" s="109"/>
      <c r="AQ487" s="109"/>
      <c r="AR487" s="109"/>
      <c r="AS487" s="109"/>
      <c r="AT487" s="109"/>
      <c r="AU487" s="109"/>
      <c r="AV487" s="109"/>
      <c r="AW487" s="109"/>
      <c r="AX487" s="109"/>
      <c r="AY487" s="109"/>
      <c r="AZ487" s="109"/>
      <c r="BA487" s="109"/>
      <c r="BB487" s="109"/>
      <c r="BC487" s="109"/>
      <c r="BD487" s="109"/>
      <c r="BE487" s="109"/>
      <c r="BF487" s="109"/>
      <c r="BG487" s="109"/>
      <c r="BH487" s="109"/>
      <c r="BI487" s="109"/>
      <c r="BJ487" s="109"/>
      <c r="BK487" s="109"/>
      <c r="BL487" s="109"/>
      <c r="BM487" s="109"/>
      <c r="BN487" s="109"/>
      <c r="BO487" s="109"/>
      <c r="BP487" s="109"/>
      <c r="BQ487" s="109"/>
      <c r="BR487" s="109"/>
      <c r="BS487" s="109"/>
      <c r="BT487" s="109"/>
      <c r="BU487" s="109"/>
    </row>
    <row r="488" ht="15.75" customHeight="1">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10"/>
      <c r="X488" s="109"/>
      <c r="Y488" s="109"/>
      <c r="Z488" s="109"/>
      <c r="AA488" s="109"/>
      <c r="AB488" s="109"/>
      <c r="AC488" s="109"/>
      <c r="AD488" s="109"/>
      <c r="AE488" s="109"/>
      <c r="AF488" s="109"/>
      <c r="AG488" s="109"/>
      <c r="AH488" s="109"/>
      <c r="AI488" s="109"/>
      <c r="AJ488" s="109"/>
      <c r="AK488" s="109"/>
      <c r="AL488" s="109"/>
      <c r="AM488" s="109"/>
      <c r="AN488" s="109"/>
      <c r="AO488" s="109"/>
      <c r="AP488" s="109"/>
      <c r="AQ488" s="109"/>
      <c r="AR488" s="109"/>
      <c r="AS488" s="109"/>
      <c r="AT488" s="109"/>
      <c r="AU488" s="109"/>
      <c r="AV488" s="109"/>
      <c r="AW488" s="109"/>
      <c r="AX488" s="109"/>
      <c r="AY488" s="109"/>
      <c r="AZ488" s="109"/>
      <c r="BA488" s="109"/>
      <c r="BB488" s="109"/>
      <c r="BC488" s="109"/>
      <c r="BD488" s="109"/>
      <c r="BE488" s="109"/>
      <c r="BF488" s="109"/>
      <c r="BG488" s="109"/>
      <c r="BH488" s="109"/>
      <c r="BI488" s="109"/>
      <c r="BJ488" s="109"/>
      <c r="BK488" s="109"/>
      <c r="BL488" s="109"/>
      <c r="BM488" s="109"/>
      <c r="BN488" s="109"/>
      <c r="BO488" s="109"/>
      <c r="BP488" s="109"/>
      <c r="BQ488" s="109"/>
      <c r="BR488" s="109"/>
      <c r="BS488" s="109"/>
      <c r="BT488" s="109"/>
      <c r="BU488" s="109"/>
    </row>
    <row r="489" ht="15.75" customHeight="1">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10"/>
      <c r="X489" s="109"/>
      <c r="Y489" s="109"/>
      <c r="Z489" s="109"/>
      <c r="AA489" s="109"/>
      <c r="AB489" s="109"/>
      <c r="AC489" s="109"/>
      <c r="AD489" s="109"/>
      <c r="AE489" s="109"/>
      <c r="AF489" s="109"/>
      <c r="AG489" s="109"/>
      <c r="AH489" s="109"/>
      <c r="AI489" s="109"/>
      <c r="AJ489" s="109"/>
      <c r="AK489" s="109"/>
      <c r="AL489" s="109"/>
      <c r="AM489" s="109"/>
      <c r="AN489" s="109"/>
      <c r="AO489" s="109"/>
      <c r="AP489" s="109"/>
      <c r="AQ489" s="109"/>
      <c r="AR489" s="109"/>
      <c r="AS489" s="109"/>
      <c r="AT489" s="109"/>
      <c r="AU489" s="109"/>
      <c r="AV489" s="109"/>
      <c r="AW489" s="109"/>
      <c r="AX489" s="109"/>
      <c r="AY489" s="109"/>
      <c r="AZ489" s="109"/>
      <c r="BA489" s="109"/>
      <c r="BB489" s="109"/>
      <c r="BC489" s="109"/>
      <c r="BD489" s="109"/>
      <c r="BE489" s="109"/>
      <c r="BF489" s="109"/>
      <c r="BG489" s="109"/>
      <c r="BH489" s="109"/>
      <c r="BI489" s="109"/>
      <c r="BJ489" s="109"/>
      <c r="BK489" s="109"/>
      <c r="BL489" s="109"/>
      <c r="BM489" s="109"/>
      <c r="BN489" s="109"/>
      <c r="BO489" s="109"/>
      <c r="BP489" s="109"/>
      <c r="BQ489" s="109"/>
      <c r="BR489" s="109"/>
      <c r="BS489" s="109"/>
      <c r="BT489" s="109"/>
      <c r="BU489" s="109"/>
    </row>
    <row r="490" ht="15.75" customHeight="1">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10"/>
      <c r="X490" s="109"/>
      <c r="Y490" s="109"/>
      <c r="Z490" s="109"/>
      <c r="AA490" s="109"/>
      <c r="AB490" s="109"/>
      <c r="AC490" s="109"/>
      <c r="AD490" s="109"/>
      <c r="AE490" s="109"/>
      <c r="AF490" s="109"/>
      <c r="AG490" s="109"/>
      <c r="AH490" s="109"/>
      <c r="AI490" s="109"/>
      <c r="AJ490" s="109"/>
      <c r="AK490" s="109"/>
      <c r="AL490" s="109"/>
      <c r="AM490" s="109"/>
      <c r="AN490" s="109"/>
      <c r="AO490" s="109"/>
      <c r="AP490" s="109"/>
      <c r="AQ490" s="109"/>
      <c r="AR490" s="109"/>
      <c r="AS490" s="109"/>
      <c r="AT490" s="109"/>
      <c r="AU490" s="109"/>
      <c r="AV490" s="109"/>
      <c r="AW490" s="109"/>
      <c r="AX490" s="109"/>
      <c r="AY490" s="109"/>
      <c r="AZ490" s="109"/>
      <c r="BA490" s="109"/>
      <c r="BB490" s="109"/>
      <c r="BC490" s="109"/>
      <c r="BD490" s="109"/>
      <c r="BE490" s="109"/>
      <c r="BF490" s="109"/>
      <c r="BG490" s="109"/>
      <c r="BH490" s="109"/>
      <c r="BI490" s="109"/>
      <c r="BJ490" s="109"/>
      <c r="BK490" s="109"/>
      <c r="BL490" s="109"/>
      <c r="BM490" s="109"/>
      <c r="BN490" s="109"/>
      <c r="BO490" s="109"/>
      <c r="BP490" s="109"/>
      <c r="BQ490" s="109"/>
      <c r="BR490" s="109"/>
      <c r="BS490" s="109"/>
      <c r="BT490" s="109"/>
      <c r="BU490" s="109"/>
    </row>
    <row r="491" ht="15.75" customHeight="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10"/>
      <c r="X491" s="109"/>
      <c r="Y491" s="109"/>
      <c r="Z491" s="109"/>
      <c r="AA491" s="109"/>
      <c r="AB491" s="109"/>
      <c r="AC491" s="109"/>
      <c r="AD491" s="109"/>
      <c r="AE491" s="109"/>
      <c r="AF491" s="109"/>
      <c r="AG491" s="109"/>
      <c r="AH491" s="109"/>
      <c r="AI491" s="109"/>
      <c r="AJ491" s="109"/>
      <c r="AK491" s="109"/>
      <c r="AL491" s="109"/>
      <c r="AM491" s="109"/>
      <c r="AN491" s="109"/>
      <c r="AO491" s="109"/>
      <c r="AP491" s="109"/>
      <c r="AQ491" s="109"/>
      <c r="AR491" s="109"/>
      <c r="AS491" s="109"/>
      <c r="AT491" s="109"/>
      <c r="AU491" s="109"/>
      <c r="AV491" s="109"/>
      <c r="AW491" s="109"/>
      <c r="AX491" s="109"/>
      <c r="AY491" s="109"/>
      <c r="AZ491" s="109"/>
      <c r="BA491" s="109"/>
      <c r="BB491" s="109"/>
      <c r="BC491" s="109"/>
      <c r="BD491" s="109"/>
      <c r="BE491" s="109"/>
      <c r="BF491" s="109"/>
      <c r="BG491" s="109"/>
      <c r="BH491" s="109"/>
      <c r="BI491" s="109"/>
      <c r="BJ491" s="109"/>
      <c r="BK491" s="109"/>
      <c r="BL491" s="109"/>
      <c r="BM491" s="109"/>
      <c r="BN491" s="109"/>
      <c r="BO491" s="109"/>
      <c r="BP491" s="109"/>
      <c r="BQ491" s="109"/>
      <c r="BR491" s="109"/>
      <c r="BS491" s="109"/>
      <c r="BT491" s="109"/>
      <c r="BU491" s="109"/>
    </row>
    <row r="492" ht="15.75" customHeight="1">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10"/>
      <c r="X492" s="109"/>
      <c r="Y492" s="109"/>
      <c r="Z492" s="109"/>
      <c r="AA492" s="109"/>
      <c r="AB492" s="109"/>
      <c r="AC492" s="109"/>
      <c r="AD492" s="109"/>
      <c r="AE492" s="109"/>
      <c r="AF492" s="109"/>
      <c r="AG492" s="109"/>
      <c r="AH492" s="109"/>
      <c r="AI492" s="109"/>
      <c r="AJ492" s="109"/>
      <c r="AK492" s="109"/>
      <c r="AL492" s="109"/>
      <c r="AM492" s="109"/>
      <c r="AN492" s="109"/>
      <c r="AO492" s="109"/>
      <c r="AP492" s="109"/>
      <c r="AQ492" s="109"/>
      <c r="AR492" s="109"/>
      <c r="AS492" s="109"/>
      <c r="AT492" s="109"/>
      <c r="AU492" s="109"/>
      <c r="AV492" s="109"/>
      <c r="AW492" s="109"/>
      <c r="AX492" s="109"/>
      <c r="AY492" s="109"/>
      <c r="AZ492" s="109"/>
      <c r="BA492" s="109"/>
      <c r="BB492" s="109"/>
      <c r="BC492" s="109"/>
      <c r="BD492" s="109"/>
      <c r="BE492" s="109"/>
      <c r="BF492" s="109"/>
      <c r="BG492" s="109"/>
      <c r="BH492" s="109"/>
      <c r="BI492" s="109"/>
      <c r="BJ492" s="109"/>
      <c r="BK492" s="109"/>
      <c r="BL492" s="109"/>
      <c r="BM492" s="109"/>
      <c r="BN492" s="109"/>
      <c r="BO492" s="109"/>
      <c r="BP492" s="109"/>
      <c r="BQ492" s="109"/>
      <c r="BR492" s="109"/>
      <c r="BS492" s="109"/>
      <c r="BT492" s="109"/>
      <c r="BU492" s="109"/>
    </row>
    <row r="493" ht="15.75" customHeight="1">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10"/>
      <c r="X493" s="109"/>
      <c r="Y493" s="109"/>
      <c r="Z493" s="109"/>
      <c r="AA493" s="109"/>
      <c r="AB493" s="109"/>
      <c r="AC493" s="109"/>
      <c r="AD493" s="109"/>
      <c r="AE493" s="109"/>
      <c r="AF493" s="109"/>
      <c r="AG493" s="109"/>
      <c r="AH493" s="109"/>
      <c r="AI493" s="109"/>
      <c r="AJ493" s="109"/>
      <c r="AK493" s="109"/>
      <c r="AL493" s="109"/>
      <c r="AM493" s="109"/>
      <c r="AN493" s="109"/>
      <c r="AO493" s="109"/>
      <c r="AP493" s="109"/>
      <c r="AQ493" s="109"/>
      <c r="AR493" s="109"/>
      <c r="AS493" s="109"/>
      <c r="AT493" s="109"/>
      <c r="AU493" s="109"/>
      <c r="AV493" s="109"/>
      <c r="AW493" s="109"/>
      <c r="AX493" s="109"/>
      <c r="AY493" s="109"/>
      <c r="AZ493" s="109"/>
      <c r="BA493" s="109"/>
      <c r="BB493" s="109"/>
      <c r="BC493" s="109"/>
      <c r="BD493" s="109"/>
      <c r="BE493" s="109"/>
      <c r="BF493" s="109"/>
      <c r="BG493" s="109"/>
      <c r="BH493" s="109"/>
      <c r="BI493" s="109"/>
      <c r="BJ493" s="109"/>
      <c r="BK493" s="109"/>
      <c r="BL493" s="109"/>
      <c r="BM493" s="109"/>
      <c r="BN493" s="109"/>
      <c r="BO493" s="109"/>
      <c r="BP493" s="109"/>
      <c r="BQ493" s="109"/>
      <c r="BR493" s="109"/>
      <c r="BS493" s="109"/>
      <c r="BT493" s="109"/>
      <c r="BU493" s="109"/>
    </row>
    <row r="494" ht="15.75" customHeight="1">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10"/>
      <c r="X494" s="109"/>
      <c r="Y494" s="109"/>
      <c r="Z494" s="109"/>
      <c r="AA494" s="109"/>
      <c r="AB494" s="109"/>
      <c r="AC494" s="109"/>
      <c r="AD494" s="109"/>
      <c r="AE494" s="109"/>
      <c r="AF494" s="109"/>
      <c r="AG494" s="109"/>
      <c r="AH494" s="109"/>
      <c r="AI494" s="109"/>
      <c r="AJ494" s="109"/>
      <c r="AK494" s="109"/>
      <c r="AL494" s="109"/>
      <c r="AM494" s="109"/>
      <c r="AN494" s="109"/>
      <c r="AO494" s="109"/>
      <c r="AP494" s="109"/>
      <c r="AQ494" s="109"/>
      <c r="AR494" s="109"/>
      <c r="AS494" s="109"/>
      <c r="AT494" s="109"/>
      <c r="AU494" s="109"/>
      <c r="AV494" s="109"/>
      <c r="AW494" s="109"/>
      <c r="AX494" s="109"/>
      <c r="AY494" s="109"/>
      <c r="AZ494" s="109"/>
      <c r="BA494" s="109"/>
      <c r="BB494" s="109"/>
      <c r="BC494" s="109"/>
      <c r="BD494" s="109"/>
      <c r="BE494" s="109"/>
      <c r="BF494" s="109"/>
      <c r="BG494" s="109"/>
      <c r="BH494" s="109"/>
      <c r="BI494" s="109"/>
      <c r="BJ494" s="109"/>
      <c r="BK494" s="109"/>
      <c r="BL494" s="109"/>
      <c r="BM494" s="109"/>
      <c r="BN494" s="109"/>
      <c r="BO494" s="109"/>
      <c r="BP494" s="109"/>
      <c r="BQ494" s="109"/>
      <c r="BR494" s="109"/>
      <c r="BS494" s="109"/>
      <c r="BT494" s="109"/>
      <c r="BU494" s="109"/>
    </row>
    <row r="495" ht="15.75" customHeight="1">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10"/>
      <c r="X495" s="109"/>
      <c r="Y495" s="109"/>
      <c r="Z495" s="109"/>
      <c r="AA495" s="109"/>
      <c r="AB495" s="109"/>
      <c r="AC495" s="109"/>
      <c r="AD495" s="109"/>
      <c r="AE495" s="109"/>
      <c r="AF495" s="109"/>
      <c r="AG495" s="109"/>
      <c r="AH495" s="109"/>
      <c r="AI495" s="109"/>
      <c r="AJ495" s="109"/>
      <c r="AK495" s="109"/>
      <c r="AL495" s="109"/>
      <c r="AM495" s="109"/>
      <c r="AN495" s="109"/>
      <c r="AO495" s="109"/>
      <c r="AP495" s="109"/>
      <c r="AQ495" s="109"/>
      <c r="AR495" s="109"/>
      <c r="AS495" s="109"/>
      <c r="AT495" s="109"/>
      <c r="AU495" s="109"/>
      <c r="AV495" s="109"/>
      <c r="AW495" s="109"/>
      <c r="AX495" s="109"/>
      <c r="AY495" s="109"/>
      <c r="AZ495" s="109"/>
      <c r="BA495" s="109"/>
      <c r="BB495" s="109"/>
      <c r="BC495" s="109"/>
      <c r="BD495" s="109"/>
      <c r="BE495" s="109"/>
      <c r="BF495" s="109"/>
      <c r="BG495" s="109"/>
      <c r="BH495" s="109"/>
      <c r="BI495" s="109"/>
      <c r="BJ495" s="109"/>
      <c r="BK495" s="109"/>
      <c r="BL495" s="109"/>
      <c r="BM495" s="109"/>
      <c r="BN495" s="109"/>
      <c r="BO495" s="109"/>
      <c r="BP495" s="109"/>
      <c r="BQ495" s="109"/>
      <c r="BR495" s="109"/>
      <c r="BS495" s="109"/>
      <c r="BT495" s="109"/>
      <c r="BU495" s="109"/>
    </row>
    <row r="496" ht="15.75" customHeight="1">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10"/>
      <c r="X496" s="109"/>
      <c r="Y496" s="109"/>
      <c r="Z496" s="109"/>
      <c r="AA496" s="109"/>
      <c r="AB496" s="109"/>
      <c r="AC496" s="109"/>
      <c r="AD496" s="109"/>
      <c r="AE496" s="109"/>
      <c r="AF496" s="109"/>
      <c r="AG496" s="109"/>
      <c r="AH496" s="109"/>
      <c r="AI496" s="109"/>
      <c r="AJ496" s="109"/>
      <c r="AK496" s="109"/>
      <c r="AL496" s="109"/>
      <c r="AM496" s="109"/>
      <c r="AN496" s="109"/>
      <c r="AO496" s="109"/>
      <c r="AP496" s="109"/>
      <c r="AQ496" s="109"/>
      <c r="AR496" s="109"/>
      <c r="AS496" s="109"/>
      <c r="AT496" s="109"/>
      <c r="AU496" s="109"/>
      <c r="AV496" s="109"/>
      <c r="AW496" s="109"/>
      <c r="AX496" s="109"/>
      <c r="AY496" s="109"/>
      <c r="AZ496" s="109"/>
      <c r="BA496" s="109"/>
      <c r="BB496" s="109"/>
      <c r="BC496" s="109"/>
      <c r="BD496" s="109"/>
      <c r="BE496" s="109"/>
      <c r="BF496" s="109"/>
      <c r="BG496" s="109"/>
      <c r="BH496" s="109"/>
      <c r="BI496" s="109"/>
      <c r="BJ496" s="109"/>
      <c r="BK496" s="109"/>
      <c r="BL496" s="109"/>
      <c r="BM496" s="109"/>
      <c r="BN496" s="109"/>
      <c r="BO496" s="109"/>
      <c r="BP496" s="109"/>
      <c r="BQ496" s="109"/>
      <c r="BR496" s="109"/>
      <c r="BS496" s="109"/>
      <c r="BT496" s="109"/>
      <c r="BU496" s="109"/>
    </row>
    <row r="497" ht="15.75" customHeight="1">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10"/>
      <c r="X497" s="109"/>
      <c r="Y497" s="109"/>
      <c r="Z497" s="109"/>
      <c r="AA497" s="109"/>
      <c r="AB497" s="109"/>
      <c r="AC497" s="109"/>
      <c r="AD497" s="109"/>
      <c r="AE497" s="109"/>
      <c r="AF497" s="109"/>
      <c r="AG497" s="109"/>
      <c r="AH497" s="109"/>
      <c r="AI497" s="109"/>
      <c r="AJ497" s="109"/>
      <c r="AK497" s="109"/>
      <c r="AL497" s="109"/>
      <c r="AM497" s="109"/>
      <c r="AN497" s="109"/>
      <c r="AO497" s="109"/>
      <c r="AP497" s="109"/>
      <c r="AQ497" s="109"/>
      <c r="AR497" s="109"/>
      <c r="AS497" s="109"/>
      <c r="AT497" s="109"/>
      <c r="AU497" s="109"/>
      <c r="AV497" s="109"/>
      <c r="AW497" s="109"/>
      <c r="AX497" s="109"/>
      <c r="AY497" s="109"/>
      <c r="AZ497" s="109"/>
      <c r="BA497" s="109"/>
      <c r="BB497" s="109"/>
      <c r="BC497" s="109"/>
      <c r="BD497" s="109"/>
      <c r="BE497" s="109"/>
      <c r="BF497" s="109"/>
      <c r="BG497" s="109"/>
      <c r="BH497" s="109"/>
      <c r="BI497" s="109"/>
      <c r="BJ497" s="109"/>
      <c r="BK497" s="109"/>
      <c r="BL497" s="109"/>
      <c r="BM497" s="109"/>
      <c r="BN497" s="109"/>
      <c r="BO497" s="109"/>
      <c r="BP497" s="109"/>
      <c r="BQ497" s="109"/>
      <c r="BR497" s="109"/>
      <c r="BS497" s="109"/>
      <c r="BT497" s="109"/>
      <c r="BU497" s="109"/>
    </row>
    <row r="498" ht="15.75" customHeight="1">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10"/>
      <c r="X498" s="109"/>
      <c r="Y498" s="109"/>
      <c r="Z498" s="109"/>
      <c r="AA498" s="109"/>
      <c r="AB498" s="109"/>
      <c r="AC498" s="109"/>
      <c r="AD498" s="109"/>
      <c r="AE498" s="109"/>
      <c r="AF498" s="109"/>
      <c r="AG498" s="109"/>
      <c r="AH498" s="109"/>
      <c r="AI498" s="109"/>
      <c r="AJ498" s="109"/>
      <c r="AK498" s="109"/>
      <c r="AL498" s="109"/>
      <c r="AM498" s="109"/>
      <c r="AN498" s="109"/>
      <c r="AO498" s="109"/>
      <c r="AP498" s="109"/>
      <c r="AQ498" s="109"/>
      <c r="AR498" s="109"/>
      <c r="AS498" s="109"/>
      <c r="AT498" s="109"/>
      <c r="AU498" s="109"/>
      <c r="AV498" s="109"/>
      <c r="AW498" s="109"/>
      <c r="AX498" s="109"/>
      <c r="AY498" s="109"/>
      <c r="AZ498" s="109"/>
      <c r="BA498" s="109"/>
      <c r="BB498" s="109"/>
      <c r="BC498" s="109"/>
      <c r="BD498" s="109"/>
      <c r="BE498" s="109"/>
      <c r="BF498" s="109"/>
      <c r="BG498" s="109"/>
      <c r="BH498" s="109"/>
      <c r="BI498" s="109"/>
      <c r="BJ498" s="109"/>
      <c r="BK498" s="109"/>
      <c r="BL498" s="109"/>
      <c r="BM498" s="109"/>
      <c r="BN498" s="109"/>
      <c r="BO498" s="109"/>
      <c r="BP498" s="109"/>
      <c r="BQ498" s="109"/>
      <c r="BR498" s="109"/>
      <c r="BS498" s="109"/>
      <c r="BT498" s="109"/>
      <c r="BU498" s="109"/>
    </row>
    <row r="499" ht="15.75" customHeight="1">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10"/>
      <c r="X499" s="109"/>
      <c r="Y499" s="109"/>
      <c r="Z499" s="109"/>
      <c r="AA499" s="109"/>
      <c r="AB499" s="109"/>
      <c r="AC499" s="109"/>
      <c r="AD499" s="109"/>
      <c r="AE499" s="109"/>
      <c r="AF499" s="109"/>
      <c r="AG499" s="109"/>
      <c r="AH499" s="109"/>
      <c r="AI499" s="109"/>
      <c r="AJ499" s="109"/>
      <c r="AK499" s="109"/>
      <c r="AL499" s="109"/>
      <c r="AM499" s="109"/>
      <c r="AN499" s="109"/>
      <c r="AO499" s="109"/>
      <c r="AP499" s="109"/>
      <c r="AQ499" s="109"/>
      <c r="AR499" s="109"/>
      <c r="AS499" s="109"/>
      <c r="AT499" s="109"/>
      <c r="AU499" s="109"/>
      <c r="AV499" s="109"/>
      <c r="AW499" s="109"/>
      <c r="AX499" s="109"/>
      <c r="AY499" s="109"/>
      <c r="AZ499" s="109"/>
      <c r="BA499" s="109"/>
      <c r="BB499" s="109"/>
      <c r="BC499" s="109"/>
      <c r="BD499" s="109"/>
      <c r="BE499" s="109"/>
      <c r="BF499" s="109"/>
      <c r="BG499" s="109"/>
      <c r="BH499" s="109"/>
      <c r="BI499" s="109"/>
      <c r="BJ499" s="109"/>
      <c r="BK499" s="109"/>
      <c r="BL499" s="109"/>
      <c r="BM499" s="109"/>
      <c r="BN499" s="109"/>
      <c r="BO499" s="109"/>
      <c r="BP499" s="109"/>
      <c r="BQ499" s="109"/>
      <c r="BR499" s="109"/>
      <c r="BS499" s="109"/>
      <c r="BT499" s="109"/>
      <c r="BU499" s="109"/>
    </row>
    <row r="500" ht="15.75" customHeight="1">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10"/>
      <c r="X500" s="109"/>
      <c r="Y500" s="109"/>
      <c r="Z500" s="109"/>
      <c r="AA500" s="109"/>
      <c r="AB500" s="109"/>
      <c r="AC500" s="109"/>
      <c r="AD500" s="109"/>
      <c r="AE500" s="109"/>
      <c r="AF500" s="109"/>
      <c r="AG500" s="109"/>
      <c r="AH500" s="109"/>
      <c r="AI500" s="109"/>
      <c r="AJ500" s="109"/>
      <c r="AK500" s="109"/>
      <c r="AL500" s="109"/>
      <c r="AM500" s="109"/>
      <c r="AN500" s="109"/>
      <c r="AO500" s="109"/>
      <c r="AP500" s="109"/>
      <c r="AQ500" s="109"/>
      <c r="AR500" s="109"/>
      <c r="AS500" s="109"/>
      <c r="AT500" s="109"/>
      <c r="AU500" s="109"/>
      <c r="AV500" s="109"/>
      <c r="AW500" s="109"/>
      <c r="AX500" s="109"/>
      <c r="AY500" s="109"/>
      <c r="AZ500" s="109"/>
      <c r="BA500" s="109"/>
      <c r="BB500" s="109"/>
      <c r="BC500" s="109"/>
      <c r="BD500" s="109"/>
      <c r="BE500" s="109"/>
      <c r="BF500" s="109"/>
      <c r="BG500" s="109"/>
      <c r="BH500" s="109"/>
      <c r="BI500" s="109"/>
      <c r="BJ500" s="109"/>
      <c r="BK500" s="109"/>
      <c r="BL500" s="109"/>
      <c r="BM500" s="109"/>
      <c r="BN500" s="109"/>
      <c r="BO500" s="109"/>
      <c r="BP500" s="109"/>
      <c r="BQ500" s="109"/>
      <c r="BR500" s="109"/>
      <c r="BS500" s="109"/>
      <c r="BT500" s="109"/>
      <c r="BU500" s="109"/>
    </row>
    <row r="501" ht="15.75" customHeight="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10"/>
      <c r="X501" s="109"/>
      <c r="Y501" s="109"/>
      <c r="Z501" s="109"/>
      <c r="AA501" s="109"/>
      <c r="AB501" s="109"/>
      <c r="AC501" s="109"/>
      <c r="AD501" s="109"/>
      <c r="AE501" s="109"/>
      <c r="AF501" s="109"/>
      <c r="AG501" s="109"/>
      <c r="AH501" s="109"/>
      <c r="AI501" s="109"/>
      <c r="AJ501" s="109"/>
      <c r="AK501" s="109"/>
      <c r="AL501" s="109"/>
      <c r="AM501" s="109"/>
      <c r="AN501" s="109"/>
      <c r="AO501" s="109"/>
      <c r="AP501" s="109"/>
      <c r="AQ501" s="109"/>
      <c r="AR501" s="109"/>
      <c r="AS501" s="109"/>
      <c r="AT501" s="109"/>
      <c r="AU501" s="109"/>
      <c r="AV501" s="109"/>
      <c r="AW501" s="109"/>
      <c r="AX501" s="109"/>
      <c r="AY501" s="109"/>
      <c r="AZ501" s="109"/>
      <c r="BA501" s="109"/>
      <c r="BB501" s="109"/>
      <c r="BC501" s="109"/>
      <c r="BD501" s="109"/>
      <c r="BE501" s="109"/>
      <c r="BF501" s="109"/>
      <c r="BG501" s="109"/>
      <c r="BH501" s="109"/>
      <c r="BI501" s="109"/>
      <c r="BJ501" s="109"/>
      <c r="BK501" s="109"/>
      <c r="BL501" s="109"/>
      <c r="BM501" s="109"/>
      <c r="BN501" s="109"/>
      <c r="BO501" s="109"/>
      <c r="BP501" s="109"/>
      <c r="BQ501" s="109"/>
      <c r="BR501" s="109"/>
      <c r="BS501" s="109"/>
      <c r="BT501" s="109"/>
      <c r="BU501" s="109"/>
    </row>
    <row r="502" ht="15.75" customHeight="1">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10"/>
      <c r="X502" s="109"/>
      <c r="Y502" s="109"/>
      <c r="Z502" s="109"/>
      <c r="AA502" s="109"/>
      <c r="AB502" s="109"/>
      <c r="AC502" s="109"/>
      <c r="AD502" s="109"/>
      <c r="AE502" s="109"/>
      <c r="AF502" s="109"/>
      <c r="AG502" s="109"/>
      <c r="AH502" s="109"/>
      <c r="AI502" s="109"/>
      <c r="AJ502" s="109"/>
      <c r="AK502" s="109"/>
      <c r="AL502" s="109"/>
      <c r="AM502" s="109"/>
      <c r="AN502" s="109"/>
      <c r="AO502" s="109"/>
      <c r="AP502" s="109"/>
      <c r="AQ502" s="109"/>
      <c r="AR502" s="109"/>
      <c r="AS502" s="109"/>
      <c r="AT502" s="109"/>
      <c r="AU502" s="109"/>
      <c r="AV502" s="109"/>
      <c r="AW502" s="109"/>
      <c r="AX502" s="109"/>
      <c r="AY502" s="109"/>
      <c r="AZ502" s="109"/>
      <c r="BA502" s="109"/>
      <c r="BB502" s="109"/>
      <c r="BC502" s="109"/>
      <c r="BD502" s="109"/>
      <c r="BE502" s="109"/>
      <c r="BF502" s="109"/>
      <c r="BG502" s="109"/>
      <c r="BH502" s="109"/>
      <c r="BI502" s="109"/>
      <c r="BJ502" s="109"/>
      <c r="BK502" s="109"/>
      <c r="BL502" s="109"/>
      <c r="BM502" s="109"/>
      <c r="BN502" s="109"/>
      <c r="BO502" s="109"/>
      <c r="BP502" s="109"/>
      <c r="BQ502" s="109"/>
      <c r="BR502" s="109"/>
      <c r="BS502" s="109"/>
      <c r="BT502" s="109"/>
      <c r="BU502" s="109"/>
    </row>
    <row r="503" ht="15.75" customHeight="1">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10"/>
      <c r="X503" s="109"/>
      <c r="Y503" s="109"/>
      <c r="Z503" s="109"/>
      <c r="AA503" s="109"/>
      <c r="AB503" s="109"/>
      <c r="AC503" s="109"/>
      <c r="AD503" s="109"/>
      <c r="AE503" s="109"/>
      <c r="AF503" s="109"/>
      <c r="AG503" s="109"/>
      <c r="AH503" s="109"/>
      <c r="AI503" s="109"/>
      <c r="AJ503" s="109"/>
      <c r="AK503" s="109"/>
      <c r="AL503" s="109"/>
      <c r="AM503" s="109"/>
      <c r="AN503" s="109"/>
      <c r="AO503" s="109"/>
      <c r="AP503" s="109"/>
      <c r="AQ503" s="109"/>
      <c r="AR503" s="109"/>
      <c r="AS503" s="109"/>
      <c r="AT503" s="109"/>
      <c r="AU503" s="109"/>
      <c r="AV503" s="109"/>
      <c r="AW503" s="109"/>
      <c r="AX503" s="109"/>
      <c r="AY503" s="109"/>
      <c r="AZ503" s="109"/>
      <c r="BA503" s="109"/>
      <c r="BB503" s="109"/>
      <c r="BC503" s="109"/>
      <c r="BD503" s="109"/>
      <c r="BE503" s="109"/>
      <c r="BF503" s="109"/>
      <c r="BG503" s="109"/>
      <c r="BH503" s="109"/>
      <c r="BI503" s="109"/>
      <c r="BJ503" s="109"/>
      <c r="BK503" s="109"/>
      <c r="BL503" s="109"/>
      <c r="BM503" s="109"/>
      <c r="BN503" s="109"/>
      <c r="BO503" s="109"/>
      <c r="BP503" s="109"/>
      <c r="BQ503" s="109"/>
      <c r="BR503" s="109"/>
      <c r="BS503" s="109"/>
      <c r="BT503" s="109"/>
      <c r="BU503" s="109"/>
    </row>
    <row r="504" ht="15.75" customHeight="1">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10"/>
      <c r="X504" s="109"/>
      <c r="Y504" s="109"/>
      <c r="Z504" s="109"/>
      <c r="AA504" s="109"/>
      <c r="AB504" s="109"/>
      <c r="AC504" s="109"/>
      <c r="AD504" s="109"/>
      <c r="AE504" s="109"/>
      <c r="AF504" s="109"/>
      <c r="AG504" s="109"/>
      <c r="AH504" s="109"/>
      <c r="AI504" s="109"/>
      <c r="AJ504" s="109"/>
      <c r="AK504" s="109"/>
      <c r="AL504" s="109"/>
      <c r="AM504" s="109"/>
      <c r="AN504" s="109"/>
      <c r="AO504" s="109"/>
      <c r="AP504" s="109"/>
      <c r="AQ504" s="109"/>
      <c r="AR504" s="109"/>
      <c r="AS504" s="109"/>
      <c r="AT504" s="109"/>
      <c r="AU504" s="109"/>
      <c r="AV504" s="109"/>
      <c r="AW504" s="109"/>
      <c r="AX504" s="109"/>
      <c r="AY504" s="109"/>
      <c r="AZ504" s="109"/>
      <c r="BA504" s="109"/>
      <c r="BB504" s="109"/>
      <c r="BC504" s="109"/>
      <c r="BD504" s="109"/>
      <c r="BE504" s="109"/>
      <c r="BF504" s="109"/>
      <c r="BG504" s="109"/>
      <c r="BH504" s="109"/>
      <c r="BI504" s="109"/>
      <c r="BJ504" s="109"/>
      <c r="BK504" s="109"/>
      <c r="BL504" s="109"/>
      <c r="BM504" s="109"/>
      <c r="BN504" s="109"/>
      <c r="BO504" s="109"/>
      <c r="BP504" s="109"/>
      <c r="BQ504" s="109"/>
      <c r="BR504" s="109"/>
      <c r="BS504" s="109"/>
      <c r="BT504" s="109"/>
      <c r="BU504" s="109"/>
    </row>
    <row r="505" ht="15.75" customHeight="1">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10"/>
      <c r="X505" s="109"/>
      <c r="Y505" s="109"/>
      <c r="Z505" s="109"/>
      <c r="AA505" s="109"/>
      <c r="AB505" s="109"/>
      <c r="AC505" s="109"/>
      <c r="AD505" s="109"/>
      <c r="AE505" s="109"/>
      <c r="AF505" s="109"/>
      <c r="AG505" s="109"/>
      <c r="AH505" s="109"/>
      <c r="AI505" s="109"/>
      <c r="AJ505" s="109"/>
      <c r="AK505" s="109"/>
      <c r="AL505" s="109"/>
      <c r="AM505" s="109"/>
      <c r="AN505" s="109"/>
      <c r="AO505" s="109"/>
      <c r="AP505" s="109"/>
      <c r="AQ505" s="109"/>
      <c r="AR505" s="109"/>
      <c r="AS505" s="109"/>
      <c r="AT505" s="109"/>
      <c r="AU505" s="109"/>
      <c r="AV505" s="109"/>
      <c r="AW505" s="109"/>
      <c r="AX505" s="109"/>
      <c r="AY505" s="109"/>
      <c r="AZ505" s="109"/>
      <c r="BA505" s="109"/>
      <c r="BB505" s="109"/>
      <c r="BC505" s="109"/>
      <c r="BD505" s="109"/>
      <c r="BE505" s="109"/>
      <c r="BF505" s="109"/>
      <c r="BG505" s="109"/>
      <c r="BH505" s="109"/>
      <c r="BI505" s="109"/>
      <c r="BJ505" s="109"/>
      <c r="BK505" s="109"/>
      <c r="BL505" s="109"/>
      <c r="BM505" s="109"/>
      <c r="BN505" s="109"/>
      <c r="BO505" s="109"/>
      <c r="BP505" s="109"/>
      <c r="BQ505" s="109"/>
      <c r="BR505" s="109"/>
      <c r="BS505" s="109"/>
      <c r="BT505" s="109"/>
      <c r="BU505" s="109"/>
    </row>
    <row r="506" ht="15.75" customHeight="1">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10"/>
      <c r="X506" s="109"/>
      <c r="Y506" s="109"/>
      <c r="Z506" s="109"/>
      <c r="AA506" s="109"/>
      <c r="AB506" s="109"/>
      <c r="AC506" s="109"/>
      <c r="AD506" s="109"/>
      <c r="AE506" s="109"/>
      <c r="AF506" s="109"/>
      <c r="AG506" s="109"/>
      <c r="AH506" s="109"/>
      <c r="AI506" s="109"/>
      <c r="AJ506" s="109"/>
      <c r="AK506" s="109"/>
      <c r="AL506" s="109"/>
      <c r="AM506" s="109"/>
      <c r="AN506" s="109"/>
      <c r="AO506" s="109"/>
      <c r="AP506" s="109"/>
      <c r="AQ506" s="109"/>
      <c r="AR506" s="109"/>
      <c r="AS506" s="109"/>
      <c r="AT506" s="109"/>
      <c r="AU506" s="109"/>
      <c r="AV506" s="109"/>
      <c r="AW506" s="109"/>
      <c r="AX506" s="109"/>
      <c r="AY506" s="109"/>
      <c r="AZ506" s="109"/>
      <c r="BA506" s="109"/>
      <c r="BB506" s="109"/>
      <c r="BC506" s="109"/>
      <c r="BD506" s="109"/>
      <c r="BE506" s="109"/>
      <c r="BF506" s="109"/>
      <c r="BG506" s="109"/>
      <c r="BH506" s="109"/>
      <c r="BI506" s="109"/>
      <c r="BJ506" s="109"/>
      <c r="BK506" s="109"/>
      <c r="BL506" s="109"/>
      <c r="BM506" s="109"/>
      <c r="BN506" s="109"/>
      <c r="BO506" s="109"/>
      <c r="BP506" s="109"/>
      <c r="BQ506" s="109"/>
      <c r="BR506" s="109"/>
      <c r="BS506" s="109"/>
      <c r="BT506" s="109"/>
      <c r="BU506" s="109"/>
    </row>
    <row r="507" ht="15.75" customHeight="1">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10"/>
      <c r="X507" s="109"/>
      <c r="Y507" s="109"/>
      <c r="Z507" s="109"/>
      <c r="AA507" s="109"/>
      <c r="AB507" s="109"/>
      <c r="AC507" s="109"/>
      <c r="AD507" s="109"/>
      <c r="AE507" s="109"/>
      <c r="AF507" s="109"/>
      <c r="AG507" s="109"/>
      <c r="AH507" s="109"/>
      <c r="AI507" s="109"/>
      <c r="AJ507" s="109"/>
      <c r="AK507" s="109"/>
      <c r="AL507" s="109"/>
      <c r="AM507" s="109"/>
      <c r="AN507" s="109"/>
      <c r="AO507" s="109"/>
      <c r="AP507" s="109"/>
      <c r="AQ507" s="109"/>
      <c r="AR507" s="109"/>
      <c r="AS507" s="109"/>
      <c r="AT507" s="109"/>
      <c r="AU507" s="109"/>
      <c r="AV507" s="109"/>
      <c r="AW507" s="109"/>
      <c r="AX507" s="109"/>
      <c r="AY507" s="109"/>
      <c r="AZ507" s="109"/>
      <c r="BA507" s="109"/>
      <c r="BB507" s="109"/>
      <c r="BC507" s="109"/>
      <c r="BD507" s="109"/>
      <c r="BE507" s="109"/>
      <c r="BF507" s="109"/>
      <c r="BG507" s="109"/>
      <c r="BH507" s="109"/>
      <c r="BI507" s="109"/>
      <c r="BJ507" s="109"/>
      <c r="BK507" s="109"/>
      <c r="BL507" s="109"/>
      <c r="BM507" s="109"/>
      <c r="BN507" s="109"/>
      <c r="BO507" s="109"/>
      <c r="BP507" s="109"/>
      <c r="BQ507" s="109"/>
      <c r="BR507" s="109"/>
      <c r="BS507" s="109"/>
      <c r="BT507" s="109"/>
      <c r="BU507" s="109"/>
    </row>
    <row r="508" ht="15.75" customHeight="1">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10"/>
      <c r="X508" s="109"/>
      <c r="Y508" s="109"/>
      <c r="Z508" s="109"/>
      <c r="AA508" s="109"/>
      <c r="AB508" s="109"/>
      <c r="AC508" s="109"/>
      <c r="AD508" s="109"/>
      <c r="AE508" s="109"/>
      <c r="AF508" s="109"/>
      <c r="AG508" s="109"/>
      <c r="AH508" s="109"/>
      <c r="AI508" s="109"/>
      <c r="AJ508" s="109"/>
      <c r="AK508" s="109"/>
      <c r="AL508" s="109"/>
      <c r="AM508" s="109"/>
      <c r="AN508" s="109"/>
      <c r="AO508" s="109"/>
      <c r="AP508" s="109"/>
      <c r="AQ508" s="109"/>
      <c r="AR508" s="109"/>
      <c r="AS508" s="109"/>
      <c r="AT508" s="109"/>
      <c r="AU508" s="109"/>
      <c r="AV508" s="109"/>
      <c r="AW508" s="109"/>
      <c r="AX508" s="109"/>
      <c r="AY508" s="109"/>
      <c r="AZ508" s="109"/>
      <c r="BA508" s="109"/>
      <c r="BB508" s="109"/>
      <c r="BC508" s="109"/>
      <c r="BD508" s="109"/>
      <c r="BE508" s="109"/>
      <c r="BF508" s="109"/>
      <c r="BG508" s="109"/>
      <c r="BH508" s="109"/>
      <c r="BI508" s="109"/>
      <c r="BJ508" s="109"/>
      <c r="BK508" s="109"/>
      <c r="BL508" s="109"/>
      <c r="BM508" s="109"/>
      <c r="BN508" s="109"/>
      <c r="BO508" s="109"/>
      <c r="BP508" s="109"/>
      <c r="BQ508" s="109"/>
      <c r="BR508" s="109"/>
      <c r="BS508" s="109"/>
      <c r="BT508" s="109"/>
      <c r="BU508" s="109"/>
    </row>
    <row r="509" ht="15.75" customHeight="1">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10"/>
      <c r="X509" s="109"/>
      <c r="Y509" s="109"/>
      <c r="Z509" s="109"/>
      <c r="AA509" s="109"/>
      <c r="AB509" s="109"/>
      <c r="AC509" s="109"/>
      <c r="AD509" s="109"/>
      <c r="AE509" s="109"/>
      <c r="AF509" s="109"/>
      <c r="AG509" s="109"/>
      <c r="AH509" s="109"/>
      <c r="AI509" s="109"/>
      <c r="AJ509" s="109"/>
      <c r="AK509" s="109"/>
      <c r="AL509" s="109"/>
      <c r="AM509" s="109"/>
      <c r="AN509" s="109"/>
      <c r="AO509" s="109"/>
      <c r="AP509" s="109"/>
      <c r="AQ509" s="109"/>
      <c r="AR509" s="109"/>
      <c r="AS509" s="109"/>
      <c r="AT509" s="109"/>
      <c r="AU509" s="109"/>
      <c r="AV509" s="109"/>
      <c r="AW509" s="109"/>
      <c r="AX509" s="109"/>
      <c r="AY509" s="109"/>
      <c r="AZ509" s="109"/>
      <c r="BA509" s="109"/>
      <c r="BB509" s="109"/>
      <c r="BC509" s="109"/>
      <c r="BD509" s="109"/>
      <c r="BE509" s="109"/>
      <c r="BF509" s="109"/>
      <c r="BG509" s="109"/>
      <c r="BH509" s="109"/>
      <c r="BI509" s="109"/>
      <c r="BJ509" s="109"/>
      <c r="BK509" s="109"/>
      <c r="BL509" s="109"/>
      <c r="BM509" s="109"/>
      <c r="BN509" s="109"/>
      <c r="BO509" s="109"/>
      <c r="BP509" s="109"/>
      <c r="BQ509" s="109"/>
      <c r="BR509" s="109"/>
      <c r="BS509" s="109"/>
      <c r="BT509" s="109"/>
      <c r="BU509" s="109"/>
    </row>
    <row r="510" ht="15.75" customHeight="1">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10"/>
      <c r="X510" s="109"/>
      <c r="Y510" s="109"/>
      <c r="Z510" s="109"/>
      <c r="AA510" s="109"/>
      <c r="AB510" s="109"/>
      <c r="AC510" s="109"/>
      <c r="AD510" s="109"/>
      <c r="AE510" s="109"/>
      <c r="AF510" s="109"/>
      <c r="AG510" s="109"/>
      <c r="AH510" s="109"/>
      <c r="AI510" s="109"/>
      <c r="AJ510" s="109"/>
      <c r="AK510" s="109"/>
      <c r="AL510" s="109"/>
      <c r="AM510" s="109"/>
      <c r="AN510" s="109"/>
      <c r="AO510" s="109"/>
      <c r="AP510" s="109"/>
      <c r="AQ510" s="109"/>
      <c r="AR510" s="109"/>
      <c r="AS510" s="109"/>
      <c r="AT510" s="109"/>
      <c r="AU510" s="109"/>
      <c r="AV510" s="109"/>
      <c r="AW510" s="109"/>
      <c r="AX510" s="109"/>
      <c r="AY510" s="109"/>
      <c r="AZ510" s="109"/>
      <c r="BA510" s="109"/>
      <c r="BB510" s="109"/>
      <c r="BC510" s="109"/>
      <c r="BD510" s="109"/>
      <c r="BE510" s="109"/>
      <c r="BF510" s="109"/>
      <c r="BG510" s="109"/>
      <c r="BH510" s="109"/>
      <c r="BI510" s="109"/>
      <c r="BJ510" s="109"/>
      <c r="BK510" s="109"/>
      <c r="BL510" s="109"/>
      <c r="BM510" s="109"/>
      <c r="BN510" s="109"/>
      <c r="BO510" s="109"/>
      <c r="BP510" s="109"/>
      <c r="BQ510" s="109"/>
      <c r="BR510" s="109"/>
      <c r="BS510" s="109"/>
      <c r="BT510" s="109"/>
      <c r="BU510" s="109"/>
    </row>
    <row r="511" ht="15.75" customHeight="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10"/>
      <c r="X511" s="109"/>
      <c r="Y511" s="109"/>
      <c r="Z511" s="109"/>
      <c r="AA511" s="109"/>
      <c r="AB511" s="109"/>
      <c r="AC511" s="109"/>
      <c r="AD511" s="109"/>
      <c r="AE511" s="109"/>
      <c r="AF511" s="109"/>
      <c r="AG511" s="109"/>
      <c r="AH511" s="109"/>
      <c r="AI511" s="109"/>
      <c r="AJ511" s="109"/>
      <c r="AK511" s="109"/>
      <c r="AL511" s="109"/>
      <c r="AM511" s="109"/>
      <c r="AN511" s="109"/>
      <c r="AO511" s="109"/>
      <c r="AP511" s="109"/>
      <c r="AQ511" s="109"/>
      <c r="AR511" s="109"/>
      <c r="AS511" s="109"/>
      <c r="AT511" s="109"/>
      <c r="AU511" s="109"/>
      <c r="AV511" s="109"/>
      <c r="AW511" s="109"/>
      <c r="AX511" s="109"/>
      <c r="AY511" s="109"/>
      <c r="AZ511" s="109"/>
      <c r="BA511" s="109"/>
      <c r="BB511" s="109"/>
      <c r="BC511" s="109"/>
      <c r="BD511" s="109"/>
      <c r="BE511" s="109"/>
      <c r="BF511" s="109"/>
      <c r="BG511" s="109"/>
      <c r="BH511" s="109"/>
      <c r="BI511" s="109"/>
      <c r="BJ511" s="109"/>
      <c r="BK511" s="109"/>
      <c r="BL511" s="109"/>
      <c r="BM511" s="109"/>
      <c r="BN511" s="109"/>
      <c r="BO511" s="109"/>
      <c r="BP511" s="109"/>
      <c r="BQ511" s="109"/>
      <c r="BR511" s="109"/>
      <c r="BS511" s="109"/>
      <c r="BT511" s="109"/>
      <c r="BU511" s="109"/>
    </row>
    <row r="512" ht="15.75" customHeight="1">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10"/>
      <c r="X512" s="109"/>
      <c r="Y512" s="109"/>
      <c r="Z512" s="109"/>
      <c r="AA512" s="109"/>
      <c r="AB512" s="109"/>
      <c r="AC512" s="109"/>
      <c r="AD512" s="109"/>
      <c r="AE512" s="109"/>
      <c r="AF512" s="109"/>
      <c r="AG512" s="109"/>
      <c r="AH512" s="109"/>
      <c r="AI512" s="109"/>
      <c r="AJ512" s="109"/>
      <c r="AK512" s="109"/>
      <c r="AL512" s="109"/>
      <c r="AM512" s="109"/>
      <c r="AN512" s="109"/>
      <c r="AO512" s="109"/>
      <c r="AP512" s="109"/>
      <c r="AQ512" s="109"/>
      <c r="AR512" s="109"/>
      <c r="AS512" s="109"/>
      <c r="AT512" s="109"/>
      <c r="AU512" s="109"/>
      <c r="AV512" s="109"/>
      <c r="AW512" s="109"/>
      <c r="AX512" s="109"/>
      <c r="AY512" s="109"/>
      <c r="AZ512" s="109"/>
      <c r="BA512" s="109"/>
      <c r="BB512" s="109"/>
      <c r="BC512" s="109"/>
      <c r="BD512" s="109"/>
      <c r="BE512" s="109"/>
      <c r="BF512" s="109"/>
      <c r="BG512" s="109"/>
      <c r="BH512" s="109"/>
      <c r="BI512" s="109"/>
      <c r="BJ512" s="109"/>
      <c r="BK512" s="109"/>
      <c r="BL512" s="109"/>
      <c r="BM512" s="109"/>
      <c r="BN512" s="109"/>
      <c r="BO512" s="109"/>
      <c r="BP512" s="109"/>
      <c r="BQ512" s="109"/>
      <c r="BR512" s="109"/>
      <c r="BS512" s="109"/>
      <c r="BT512" s="109"/>
      <c r="BU512" s="109"/>
    </row>
    <row r="513" ht="15.75" customHeight="1">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10"/>
      <c r="X513" s="109"/>
      <c r="Y513" s="109"/>
      <c r="Z513" s="109"/>
      <c r="AA513" s="109"/>
      <c r="AB513" s="109"/>
      <c r="AC513" s="109"/>
      <c r="AD513" s="109"/>
      <c r="AE513" s="109"/>
      <c r="AF513" s="109"/>
      <c r="AG513" s="109"/>
      <c r="AH513" s="109"/>
      <c r="AI513" s="109"/>
      <c r="AJ513" s="109"/>
      <c r="AK513" s="109"/>
      <c r="AL513" s="109"/>
      <c r="AM513" s="109"/>
      <c r="AN513" s="109"/>
      <c r="AO513" s="109"/>
      <c r="AP513" s="109"/>
      <c r="AQ513" s="109"/>
      <c r="AR513" s="109"/>
      <c r="AS513" s="109"/>
      <c r="AT513" s="109"/>
      <c r="AU513" s="109"/>
      <c r="AV513" s="109"/>
      <c r="AW513" s="109"/>
      <c r="AX513" s="109"/>
      <c r="AY513" s="109"/>
      <c r="AZ513" s="109"/>
      <c r="BA513" s="109"/>
      <c r="BB513" s="109"/>
      <c r="BC513" s="109"/>
      <c r="BD513" s="109"/>
      <c r="BE513" s="109"/>
      <c r="BF513" s="109"/>
      <c r="BG513" s="109"/>
      <c r="BH513" s="109"/>
      <c r="BI513" s="109"/>
      <c r="BJ513" s="109"/>
      <c r="BK513" s="109"/>
      <c r="BL513" s="109"/>
      <c r="BM513" s="109"/>
      <c r="BN513" s="109"/>
      <c r="BO513" s="109"/>
      <c r="BP513" s="109"/>
      <c r="BQ513" s="109"/>
      <c r="BR513" s="109"/>
      <c r="BS513" s="109"/>
      <c r="BT513" s="109"/>
      <c r="BU513" s="109"/>
    </row>
    <row r="514" ht="15.75" customHeight="1">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10"/>
      <c r="X514" s="109"/>
      <c r="Y514" s="109"/>
      <c r="Z514" s="109"/>
      <c r="AA514" s="109"/>
      <c r="AB514" s="109"/>
      <c r="AC514" s="109"/>
      <c r="AD514" s="109"/>
      <c r="AE514" s="109"/>
      <c r="AF514" s="109"/>
      <c r="AG514" s="109"/>
      <c r="AH514" s="109"/>
      <c r="AI514" s="109"/>
      <c r="AJ514" s="109"/>
      <c r="AK514" s="109"/>
      <c r="AL514" s="109"/>
      <c r="AM514" s="109"/>
      <c r="AN514" s="109"/>
      <c r="AO514" s="109"/>
      <c r="AP514" s="109"/>
      <c r="AQ514" s="109"/>
      <c r="AR514" s="109"/>
      <c r="AS514" s="109"/>
      <c r="AT514" s="109"/>
      <c r="AU514" s="109"/>
      <c r="AV514" s="109"/>
      <c r="AW514" s="109"/>
      <c r="AX514" s="109"/>
      <c r="AY514" s="109"/>
      <c r="AZ514" s="109"/>
      <c r="BA514" s="109"/>
      <c r="BB514" s="109"/>
      <c r="BC514" s="109"/>
      <c r="BD514" s="109"/>
      <c r="BE514" s="109"/>
      <c r="BF514" s="109"/>
      <c r="BG514" s="109"/>
      <c r="BH514" s="109"/>
      <c r="BI514" s="109"/>
      <c r="BJ514" s="109"/>
      <c r="BK514" s="109"/>
      <c r="BL514" s="109"/>
      <c r="BM514" s="109"/>
      <c r="BN514" s="109"/>
      <c r="BO514" s="109"/>
      <c r="BP514" s="109"/>
      <c r="BQ514" s="109"/>
      <c r="BR514" s="109"/>
      <c r="BS514" s="109"/>
      <c r="BT514" s="109"/>
      <c r="BU514" s="109"/>
    </row>
    <row r="515" ht="15.75" customHeight="1">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10"/>
      <c r="X515" s="109"/>
      <c r="Y515" s="109"/>
      <c r="Z515" s="109"/>
      <c r="AA515" s="109"/>
      <c r="AB515" s="109"/>
      <c r="AC515" s="109"/>
      <c r="AD515" s="109"/>
      <c r="AE515" s="109"/>
      <c r="AF515" s="109"/>
      <c r="AG515" s="109"/>
      <c r="AH515" s="109"/>
      <c r="AI515" s="109"/>
      <c r="AJ515" s="109"/>
      <c r="AK515" s="109"/>
      <c r="AL515" s="109"/>
      <c r="AM515" s="109"/>
      <c r="AN515" s="109"/>
      <c r="AO515" s="109"/>
      <c r="AP515" s="109"/>
      <c r="AQ515" s="109"/>
      <c r="AR515" s="109"/>
      <c r="AS515" s="109"/>
      <c r="AT515" s="109"/>
      <c r="AU515" s="109"/>
      <c r="AV515" s="109"/>
      <c r="AW515" s="109"/>
      <c r="AX515" s="109"/>
      <c r="AY515" s="109"/>
      <c r="AZ515" s="109"/>
      <c r="BA515" s="109"/>
      <c r="BB515" s="109"/>
      <c r="BC515" s="109"/>
      <c r="BD515" s="109"/>
      <c r="BE515" s="109"/>
      <c r="BF515" s="109"/>
      <c r="BG515" s="109"/>
      <c r="BH515" s="109"/>
      <c r="BI515" s="109"/>
      <c r="BJ515" s="109"/>
      <c r="BK515" s="109"/>
      <c r="BL515" s="109"/>
      <c r="BM515" s="109"/>
      <c r="BN515" s="109"/>
      <c r="BO515" s="109"/>
      <c r="BP515" s="109"/>
      <c r="BQ515" s="109"/>
      <c r="BR515" s="109"/>
      <c r="BS515" s="109"/>
      <c r="BT515" s="109"/>
      <c r="BU515" s="109"/>
    </row>
    <row r="516" ht="15.75" customHeight="1">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10"/>
      <c r="X516" s="109"/>
      <c r="Y516" s="109"/>
      <c r="Z516" s="109"/>
      <c r="AA516" s="109"/>
      <c r="AB516" s="109"/>
      <c r="AC516" s="109"/>
      <c r="AD516" s="109"/>
      <c r="AE516" s="109"/>
      <c r="AF516" s="109"/>
      <c r="AG516" s="109"/>
      <c r="AH516" s="109"/>
      <c r="AI516" s="109"/>
      <c r="AJ516" s="109"/>
      <c r="AK516" s="109"/>
      <c r="AL516" s="109"/>
      <c r="AM516" s="109"/>
      <c r="AN516" s="109"/>
      <c r="AO516" s="109"/>
      <c r="AP516" s="109"/>
      <c r="AQ516" s="109"/>
      <c r="AR516" s="109"/>
      <c r="AS516" s="109"/>
      <c r="AT516" s="109"/>
      <c r="AU516" s="109"/>
      <c r="AV516" s="109"/>
      <c r="AW516" s="109"/>
      <c r="AX516" s="109"/>
      <c r="AY516" s="109"/>
      <c r="AZ516" s="109"/>
      <c r="BA516" s="109"/>
      <c r="BB516" s="109"/>
      <c r="BC516" s="109"/>
      <c r="BD516" s="109"/>
      <c r="BE516" s="109"/>
      <c r="BF516" s="109"/>
      <c r="BG516" s="109"/>
      <c r="BH516" s="109"/>
      <c r="BI516" s="109"/>
      <c r="BJ516" s="109"/>
      <c r="BK516" s="109"/>
      <c r="BL516" s="109"/>
      <c r="BM516" s="109"/>
      <c r="BN516" s="109"/>
      <c r="BO516" s="109"/>
      <c r="BP516" s="109"/>
      <c r="BQ516" s="109"/>
      <c r="BR516" s="109"/>
      <c r="BS516" s="109"/>
      <c r="BT516" s="109"/>
      <c r="BU516" s="109"/>
    </row>
    <row r="517" ht="15.75" customHeight="1">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10"/>
      <c r="X517" s="109"/>
      <c r="Y517" s="109"/>
      <c r="Z517" s="109"/>
      <c r="AA517" s="109"/>
      <c r="AB517" s="109"/>
      <c r="AC517" s="109"/>
      <c r="AD517" s="109"/>
      <c r="AE517" s="109"/>
      <c r="AF517" s="109"/>
      <c r="AG517" s="109"/>
      <c r="AH517" s="109"/>
      <c r="AI517" s="109"/>
      <c r="AJ517" s="109"/>
      <c r="AK517" s="109"/>
      <c r="AL517" s="109"/>
      <c r="AM517" s="109"/>
      <c r="AN517" s="109"/>
      <c r="AO517" s="109"/>
      <c r="AP517" s="109"/>
      <c r="AQ517" s="109"/>
      <c r="AR517" s="109"/>
      <c r="AS517" s="109"/>
      <c r="AT517" s="109"/>
      <c r="AU517" s="109"/>
      <c r="AV517" s="109"/>
      <c r="AW517" s="109"/>
      <c r="AX517" s="109"/>
      <c r="AY517" s="109"/>
      <c r="AZ517" s="109"/>
      <c r="BA517" s="109"/>
      <c r="BB517" s="109"/>
      <c r="BC517" s="109"/>
      <c r="BD517" s="109"/>
      <c r="BE517" s="109"/>
      <c r="BF517" s="109"/>
      <c r="BG517" s="109"/>
      <c r="BH517" s="109"/>
      <c r="BI517" s="109"/>
      <c r="BJ517" s="109"/>
      <c r="BK517" s="109"/>
      <c r="BL517" s="109"/>
      <c r="BM517" s="109"/>
      <c r="BN517" s="109"/>
      <c r="BO517" s="109"/>
      <c r="BP517" s="109"/>
      <c r="BQ517" s="109"/>
      <c r="BR517" s="109"/>
      <c r="BS517" s="109"/>
      <c r="BT517" s="109"/>
      <c r="BU517" s="109"/>
    </row>
    <row r="518" ht="15.75" customHeight="1">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10"/>
      <c r="X518" s="109"/>
      <c r="Y518" s="109"/>
      <c r="Z518" s="109"/>
      <c r="AA518" s="109"/>
      <c r="AB518" s="109"/>
      <c r="AC518" s="109"/>
      <c r="AD518" s="109"/>
      <c r="AE518" s="109"/>
      <c r="AF518" s="109"/>
      <c r="AG518" s="109"/>
      <c r="AH518" s="109"/>
      <c r="AI518" s="109"/>
      <c r="AJ518" s="109"/>
      <c r="AK518" s="109"/>
      <c r="AL518" s="109"/>
      <c r="AM518" s="109"/>
      <c r="AN518" s="109"/>
      <c r="AO518" s="109"/>
      <c r="AP518" s="109"/>
      <c r="AQ518" s="109"/>
      <c r="AR518" s="109"/>
      <c r="AS518" s="109"/>
      <c r="AT518" s="109"/>
      <c r="AU518" s="109"/>
      <c r="AV518" s="109"/>
      <c r="AW518" s="109"/>
      <c r="AX518" s="109"/>
      <c r="AY518" s="109"/>
      <c r="AZ518" s="109"/>
      <c r="BA518" s="109"/>
      <c r="BB518" s="109"/>
      <c r="BC518" s="109"/>
      <c r="BD518" s="109"/>
      <c r="BE518" s="109"/>
      <c r="BF518" s="109"/>
      <c r="BG518" s="109"/>
      <c r="BH518" s="109"/>
      <c r="BI518" s="109"/>
      <c r="BJ518" s="109"/>
      <c r="BK518" s="109"/>
      <c r="BL518" s="109"/>
      <c r="BM518" s="109"/>
      <c r="BN518" s="109"/>
      <c r="BO518" s="109"/>
      <c r="BP518" s="109"/>
      <c r="BQ518" s="109"/>
      <c r="BR518" s="109"/>
      <c r="BS518" s="109"/>
      <c r="BT518" s="109"/>
      <c r="BU518" s="109"/>
    </row>
    <row r="519" ht="15.75" customHeight="1">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10"/>
      <c r="X519" s="109"/>
      <c r="Y519" s="109"/>
      <c r="Z519" s="109"/>
      <c r="AA519" s="109"/>
      <c r="AB519" s="109"/>
      <c r="AC519" s="109"/>
      <c r="AD519" s="109"/>
      <c r="AE519" s="109"/>
      <c r="AF519" s="109"/>
      <c r="AG519" s="109"/>
      <c r="AH519" s="109"/>
      <c r="AI519" s="109"/>
      <c r="AJ519" s="109"/>
      <c r="AK519" s="109"/>
      <c r="AL519" s="109"/>
      <c r="AM519" s="109"/>
      <c r="AN519" s="109"/>
      <c r="AO519" s="109"/>
      <c r="AP519" s="109"/>
      <c r="AQ519" s="109"/>
      <c r="AR519" s="109"/>
      <c r="AS519" s="109"/>
      <c r="AT519" s="109"/>
      <c r="AU519" s="109"/>
      <c r="AV519" s="109"/>
      <c r="AW519" s="109"/>
      <c r="AX519" s="109"/>
      <c r="AY519" s="109"/>
      <c r="AZ519" s="109"/>
      <c r="BA519" s="109"/>
      <c r="BB519" s="109"/>
      <c r="BC519" s="109"/>
      <c r="BD519" s="109"/>
      <c r="BE519" s="109"/>
      <c r="BF519" s="109"/>
      <c r="BG519" s="109"/>
      <c r="BH519" s="109"/>
      <c r="BI519" s="109"/>
      <c r="BJ519" s="109"/>
      <c r="BK519" s="109"/>
      <c r="BL519" s="109"/>
      <c r="BM519" s="109"/>
      <c r="BN519" s="109"/>
      <c r="BO519" s="109"/>
      <c r="BP519" s="109"/>
      <c r="BQ519" s="109"/>
      <c r="BR519" s="109"/>
      <c r="BS519" s="109"/>
      <c r="BT519" s="109"/>
      <c r="BU519" s="109"/>
    </row>
    <row r="520" ht="15.75" customHeight="1">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10"/>
      <c r="X520" s="109"/>
      <c r="Y520" s="109"/>
      <c r="Z520" s="109"/>
      <c r="AA520" s="109"/>
      <c r="AB520" s="109"/>
      <c r="AC520" s="109"/>
      <c r="AD520" s="109"/>
      <c r="AE520" s="109"/>
      <c r="AF520" s="109"/>
      <c r="AG520" s="109"/>
      <c r="AH520" s="109"/>
      <c r="AI520" s="109"/>
      <c r="AJ520" s="109"/>
      <c r="AK520" s="109"/>
      <c r="AL520" s="109"/>
      <c r="AM520" s="109"/>
      <c r="AN520" s="109"/>
      <c r="AO520" s="109"/>
      <c r="AP520" s="109"/>
      <c r="AQ520" s="109"/>
      <c r="AR520" s="109"/>
      <c r="AS520" s="109"/>
      <c r="AT520" s="109"/>
      <c r="AU520" s="109"/>
      <c r="AV520" s="109"/>
      <c r="AW520" s="109"/>
      <c r="AX520" s="109"/>
      <c r="AY520" s="109"/>
      <c r="AZ520" s="109"/>
      <c r="BA520" s="109"/>
      <c r="BB520" s="109"/>
      <c r="BC520" s="109"/>
      <c r="BD520" s="109"/>
      <c r="BE520" s="109"/>
      <c r="BF520" s="109"/>
      <c r="BG520" s="109"/>
      <c r="BH520" s="109"/>
      <c r="BI520" s="109"/>
      <c r="BJ520" s="109"/>
      <c r="BK520" s="109"/>
      <c r="BL520" s="109"/>
      <c r="BM520" s="109"/>
      <c r="BN520" s="109"/>
      <c r="BO520" s="109"/>
      <c r="BP520" s="109"/>
      <c r="BQ520" s="109"/>
      <c r="BR520" s="109"/>
      <c r="BS520" s="109"/>
      <c r="BT520" s="109"/>
      <c r="BU520" s="109"/>
    </row>
    <row r="521" ht="15.75" customHeight="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10"/>
      <c r="X521" s="109"/>
      <c r="Y521" s="109"/>
      <c r="Z521" s="109"/>
      <c r="AA521" s="109"/>
      <c r="AB521" s="109"/>
      <c r="AC521" s="109"/>
      <c r="AD521" s="109"/>
      <c r="AE521" s="109"/>
      <c r="AF521" s="109"/>
      <c r="AG521" s="109"/>
      <c r="AH521" s="109"/>
      <c r="AI521" s="109"/>
      <c r="AJ521" s="109"/>
      <c r="AK521" s="109"/>
      <c r="AL521" s="109"/>
      <c r="AM521" s="109"/>
      <c r="AN521" s="109"/>
      <c r="AO521" s="109"/>
      <c r="AP521" s="109"/>
      <c r="AQ521" s="109"/>
      <c r="AR521" s="109"/>
      <c r="AS521" s="109"/>
      <c r="AT521" s="109"/>
      <c r="AU521" s="109"/>
      <c r="AV521" s="109"/>
      <c r="AW521" s="109"/>
      <c r="AX521" s="109"/>
      <c r="AY521" s="109"/>
      <c r="AZ521" s="109"/>
      <c r="BA521" s="109"/>
      <c r="BB521" s="109"/>
      <c r="BC521" s="109"/>
      <c r="BD521" s="109"/>
      <c r="BE521" s="109"/>
      <c r="BF521" s="109"/>
      <c r="BG521" s="109"/>
      <c r="BH521" s="109"/>
      <c r="BI521" s="109"/>
      <c r="BJ521" s="109"/>
      <c r="BK521" s="109"/>
      <c r="BL521" s="109"/>
      <c r="BM521" s="109"/>
      <c r="BN521" s="109"/>
      <c r="BO521" s="109"/>
      <c r="BP521" s="109"/>
      <c r="BQ521" s="109"/>
      <c r="BR521" s="109"/>
      <c r="BS521" s="109"/>
      <c r="BT521" s="109"/>
      <c r="BU521" s="109"/>
    </row>
    <row r="522" ht="15.75" customHeight="1">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10"/>
      <c r="X522" s="109"/>
      <c r="Y522" s="109"/>
      <c r="Z522" s="109"/>
      <c r="AA522" s="109"/>
      <c r="AB522" s="109"/>
      <c r="AC522" s="109"/>
      <c r="AD522" s="109"/>
      <c r="AE522" s="109"/>
      <c r="AF522" s="109"/>
      <c r="AG522" s="109"/>
      <c r="AH522" s="109"/>
      <c r="AI522" s="109"/>
      <c r="AJ522" s="109"/>
      <c r="AK522" s="109"/>
      <c r="AL522" s="109"/>
      <c r="AM522" s="109"/>
      <c r="AN522" s="109"/>
      <c r="AO522" s="109"/>
      <c r="AP522" s="109"/>
      <c r="AQ522" s="109"/>
      <c r="AR522" s="109"/>
      <c r="AS522" s="109"/>
      <c r="AT522" s="109"/>
      <c r="AU522" s="109"/>
      <c r="AV522" s="109"/>
      <c r="AW522" s="109"/>
      <c r="AX522" s="109"/>
      <c r="AY522" s="109"/>
      <c r="AZ522" s="109"/>
      <c r="BA522" s="109"/>
      <c r="BB522" s="109"/>
      <c r="BC522" s="109"/>
      <c r="BD522" s="109"/>
      <c r="BE522" s="109"/>
      <c r="BF522" s="109"/>
      <c r="BG522" s="109"/>
      <c r="BH522" s="109"/>
      <c r="BI522" s="109"/>
      <c r="BJ522" s="109"/>
      <c r="BK522" s="109"/>
      <c r="BL522" s="109"/>
      <c r="BM522" s="109"/>
      <c r="BN522" s="109"/>
      <c r="BO522" s="109"/>
      <c r="BP522" s="109"/>
      <c r="BQ522" s="109"/>
      <c r="BR522" s="109"/>
      <c r="BS522" s="109"/>
      <c r="BT522" s="109"/>
      <c r="BU522" s="109"/>
    </row>
    <row r="523" ht="15.75" customHeight="1">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10"/>
      <c r="X523" s="109"/>
      <c r="Y523" s="109"/>
      <c r="Z523" s="109"/>
      <c r="AA523" s="109"/>
      <c r="AB523" s="109"/>
      <c r="AC523" s="109"/>
      <c r="AD523" s="109"/>
      <c r="AE523" s="109"/>
      <c r="AF523" s="109"/>
      <c r="AG523" s="109"/>
      <c r="AH523" s="109"/>
      <c r="AI523" s="109"/>
      <c r="AJ523" s="109"/>
      <c r="AK523" s="109"/>
      <c r="AL523" s="109"/>
      <c r="AM523" s="109"/>
      <c r="AN523" s="109"/>
      <c r="AO523" s="109"/>
      <c r="AP523" s="109"/>
      <c r="AQ523" s="109"/>
      <c r="AR523" s="109"/>
      <c r="AS523" s="109"/>
      <c r="AT523" s="109"/>
      <c r="AU523" s="109"/>
      <c r="AV523" s="109"/>
      <c r="AW523" s="109"/>
      <c r="AX523" s="109"/>
      <c r="AY523" s="109"/>
      <c r="AZ523" s="109"/>
      <c r="BA523" s="109"/>
      <c r="BB523" s="109"/>
      <c r="BC523" s="109"/>
      <c r="BD523" s="109"/>
      <c r="BE523" s="109"/>
      <c r="BF523" s="109"/>
      <c r="BG523" s="109"/>
      <c r="BH523" s="109"/>
      <c r="BI523" s="109"/>
      <c r="BJ523" s="109"/>
      <c r="BK523" s="109"/>
      <c r="BL523" s="109"/>
      <c r="BM523" s="109"/>
      <c r="BN523" s="109"/>
      <c r="BO523" s="109"/>
      <c r="BP523" s="109"/>
      <c r="BQ523" s="109"/>
      <c r="BR523" s="109"/>
      <c r="BS523" s="109"/>
      <c r="BT523" s="109"/>
      <c r="BU523" s="109"/>
    </row>
    <row r="524" ht="15.75" customHeight="1">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10"/>
      <c r="X524" s="109"/>
      <c r="Y524" s="109"/>
      <c r="Z524" s="109"/>
      <c r="AA524" s="109"/>
      <c r="AB524" s="109"/>
      <c r="AC524" s="109"/>
      <c r="AD524" s="109"/>
      <c r="AE524" s="109"/>
      <c r="AF524" s="109"/>
      <c r="AG524" s="109"/>
      <c r="AH524" s="109"/>
      <c r="AI524" s="109"/>
      <c r="AJ524" s="109"/>
      <c r="AK524" s="109"/>
      <c r="AL524" s="109"/>
      <c r="AM524" s="109"/>
      <c r="AN524" s="109"/>
      <c r="AO524" s="109"/>
      <c r="AP524" s="109"/>
      <c r="AQ524" s="109"/>
      <c r="AR524" s="109"/>
      <c r="AS524" s="109"/>
      <c r="AT524" s="109"/>
      <c r="AU524" s="109"/>
      <c r="AV524" s="109"/>
      <c r="AW524" s="109"/>
      <c r="AX524" s="109"/>
      <c r="AY524" s="109"/>
      <c r="AZ524" s="109"/>
      <c r="BA524" s="109"/>
      <c r="BB524" s="109"/>
      <c r="BC524" s="109"/>
      <c r="BD524" s="109"/>
      <c r="BE524" s="109"/>
      <c r="BF524" s="109"/>
      <c r="BG524" s="109"/>
      <c r="BH524" s="109"/>
      <c r="BI524" s="109"/>
      <c r="BJ524" s="109"/>
      <c r="BK524" s="109"/>
      <c r="BL524" s="109"/>
      <c r="BM524" s="109"/>
      <c r="BN524" s="109"/>
      <c r="BO524" s="109"/>
      <c r="BP524" s="109"/>
      <c r="BQ524" s="109"/>
      <c r="BR524" s="109"/>
      <c r="BS524" s="109"/>
      <c r="BT524" s="109"/>
      <c r="BU524" s="109"/>
    </row>
    <row r="525" ht="15.75" customHeight="1">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10"/>
      <c r="X525" s="109"/>
      <c r="Y525" s="109"/>
      <c r="Z525" s="109"/>
      <c r="AA525" s="109"/>
      <c r="AB525" s="109"/>
      <c r="AC525" s="109"/>
      <c r="AD525" s="109"/>
      <c r="AE525" s="109"/>
      <c r="AF525" s="109"/>
      <c r="AG525" s="109"/>
      <c r="AH525" s="109"/>
      <c r="AI525" s="109"/>
      <c r="AJ525" s="109"/>
      <c r="AK525" s="109"/>
      <c r="AL525" s="109"/>
      <c r="AM525" s="109"/>
      <c r="AN525" s="109"/>
      <c r="AO525" s="109"/>
      <c r="AP525" s="109"/>
      <c r="AQ525" s="109"/>
      <c r="AR525" s="109"/>
      <c r="AS525" s="109"/>
      <c r="AT525" s="109"/>
      <c r="AU525" s="109"/>
      <c r="AV525" s="109"/>
      <c r="AW525" s="109"/>
      <c r="AX525" s="109"/>
      <c r="AY525" s="109"/>
      <c r="AZ525" s="109"/>
      <c r="BA525" s="109"/>
      <c r="BB525" s="109"/>
      <c r="BC525" s="109"/>
      <c r="BD525" s="109"/>
      <c r="BE525" s="109"/>
      <c r="BF525" s="109"/>
      <c r="BG525" s="109"/>
      <c r="BH525" s="109"/>
      <c r="BI525" s="109"/>
      <c r="BJ525" s="109"/>
      <c r="BK525" s="109"/>
      <c r="BL525" s="109"/>
      <c r="BM525" s="109"/>
      <c r="BN525" s="109"/>
      <c r="BO525" s="109"/>
      <c r="BP525" s="109"/>
      <c r="BQ525" s="109"/>
      <c r="BR525" s="109"/>
      <c r="BS525" s="109"/>
      <c r="BT525" s="109"/>
      <c r="BU525" s="109"/>
    </row>
    <row r="526" ht="15.75" customHeight="1">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10"/>
      <c r="X526" s="109"/>
      <c r="Y526" s="109"/>
      <c r="Z526" s="109"/>
      <c r="AA526" s="109"/>
      <c r="AB526" s="109"/>
      <c r="AC526" s="109"/>
      <c r="AD526" s="109"/>
      <c r="AE526" s="109"/>
      <c r="AF526" s="109"/>
      <c r="AG526" s="109"/>
      <c r="AH526" s="109"/>
      <c r="AI526" s="109"/>
      <c r="AJ526" s="109"/>
      <c r="AK526" s="109"/>
      <c r="AL526" s="109"/>
      <c r="AM526" s="109"/>
      <c r="AN526" s="109"/>
      <c r="AO526" s="109"/>
      <c r="AP526" s="109"/>
      <c r="AQ526" s="109"/>
      <c r="AR526" s="109"/>
      <c r="AS526" s="109"/>
      <c r="AT526" s="109"/>
      <c r="AU526" s="109"/>
      <c r="AV526" s="109"/>
      <c r="AW526" s="109"/>
      <c r="AX526" s="109"/>
      <c r="AY526" s="109"/>
      <c r="AZ526" s="109"/>
      <c r="BA526" s="109"/>
      <c r="BB526" s="109"/>
      <c r="BC526" s="109"/>
      <c r="BD526" s="109"/>
      <c r="BE526" s="109"/>
      <c r="BF526" s="109"/>
      <c r="BG526" s="109"/>
      <c r="BH526" s="109"/>
      <c r="BI526" s="109"/>
      <c r="BJ526" s="109"/>
      <c r="BK526" s="109"/>
      <c r="BL526" s="109"/>
      <c r="BM526" s="109"/>
      <c r="BN526" s="109"/>
      <c r="BO526" s="109"/>
      <c r="BP526" s="109"/>
      <c r="BQ526" s="109"/>
      <c r="BR526" s="109"/>
      <c r="BS526" s="109"/>
      <c r="BT526" s="109"/>
      <c r="BU526" s="109"/>
    </row>
    <row r="527" ht="15.75" customHeight="1">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10"/>
      <c r="X527" s="109"/>
      <c r="Y527" s="109"/>
      <c r="Z527" s="109"/>
      <c r="AA527" s="109"/>
      <c r="AB527" s="109"/>
      <c r="AC527" s="109"/>
      <c r="AD527" s="109"/>
      <c r="AE527" s="109"/>
      <c r="AF527" s="109"/>
      <c r="AG527" s="109"/>
      <c r="AH527" s="109"/>
      <c r="AI527" s="109"/>
      <c r="AJ527" s="109"/>
      <c r="AK527" s="109"/>
      <c r="AL527" s="109"/>
      <c r="AM527" s="109"/>
      <c r="AN527" s="109"/>
      <c r="AO527" s="109"/>
      <c r="AP527" s="109"/>
      <c r="AQ527" s="109"/>
      <c r="AR527" s="109"/>
      <c r="AS527" s="109"/>
      <c r="AT527" s="109"/>
      <c r="AU527" s="109"/>
      <c r="AV527" s="109"/>
      <c r="AW527" s="109"/>
      <c r="AX527" s="109"/>
      <c r="AY527" s="109"/>
      <c r="AZ527" s="109"/>
      <c r="BA527" s="109"/>
      <c r="BB527" s="109"/>
      <c r="BC527" s="109"/>
      <c r="BD527" s="109"/>
      <c r="BE527" s="109"/>
      <c r="BF527" s="109"/>
      <c r="BG527" s="109"/>
      <c r="BH527" s="109"/>
      <c r="BI527" s="109"/>
      <c r="BJ527" s="109"/>
      <c r="BK527" s="109"/>
      <c r="BL527" s="109"/>
      <c r="BM527" s="109"/>
      <c r="BN527" s="109"/>
      <c r="BO527" s="109"/>
      <c r="BP527" s="109"/>
      <c r="BQ527" s="109"/>
      <c r="BR527" s="109"/>
      <c r="BS527" s="109"/>
      <c r="BT527" s="109"/>
      <c r="BU527" s="109"/>
    </row>
    <row r="528" ht="15.75" customHeight="1">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10"/>
      <c r="X528" s="109"/>
      <c r="Y528" s="109"/>
      <c r="Z528" s="109"/>
      <c r="AA528" s="109"/>
      <c r="AB528" s="109"/>
      <c r="AC528" s="109"/>
      <c r="AD528" s="109"/>
      <c r="AE528" s="109"/>
      <c r="AF528" s="109"/>
      <c r="AG528" s="109"/>
      <c r="AH528" s="109"/>
      <c r="AI528" s="109"/>
      <c r="AJ528" s="109"/>
      <c r="AK528" s="109"/>
      <c r="AL528" s="109"/>
      <c r="AM528" s="109"/>
      <c r="AN528" s="109"/>
      <c r="AO528" s="109"/>
      <c r="AP528" s="109"/>
      <c r="AQ528" s="109"/>
      <c r="AR528" s="109"/>
      <c r="AS528" s="109"/>
      <c r="AT528" s="109"/>
      <c r="AU528" s="109"/>
      <c r="AV528" s="109"/>
      <c r="AW528" s="109"/>
      <c r="AX528" s="109"/>
      <c r="AY528" s="109"/>
      <c r="AZ528" s="109"/>
      <c r="BA528" s="109"/>
      <c r="BB528" s="109"/>
      <c r="BC528" s="109"/>
      <c r="BD528" s="109"/>
      <c r="BE528" s="109"/>
      <c r="BF528" s="109"/>
      <c r="BG528" s="109"/>
      <c r="BH528" s="109"/>
      <c r="BI528" s="109"/>
      <c r="BJ528" s="109"/>
      <c r="BK528" s="109"/>
      <c r="BL528" s="109"/>
      <c r="BM528" s="109"/>
      <c r="BN528" s="109"/>
      <c r="BO528" s="109"/>
      <c r="BP528" s="109"/>
      <c r="BQ528" s="109"/>
      <c r="BR528" s="109"/>
      <c r="BS528" s="109"/>
      <c r="BT528" s="109"/>
      <c r="BU528" s="109"/>
    </row>
    <row r="529" ht="15.75" customHeight="1">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10"/>
      <c r="X529" s="109"/>
      <c r="Y529" s="109"/>
      <c r="Z529" s="109"/>
      <c r="AA529" s="109"/>
      <c r="AB529" s="109"/>
      <c r="AC529" s="109"/>
      <c r="AD529" s="109"/>
      <c r="AE529" s="109"/>
      <c r="AF529" s="109"/>
      <c r="AG529" s="109"/>
      <c r="AH529" s="109"/>
      <c r="AI529" s="109"/>
      <c r="AJ529" s="109"/>
      <c r="AK529" s="109"/>
      <c r="AL529" s="109"/>
      <c r="AM529" s="109"/>
      <c r="AN529" s="109"/>
      <c r="AO529" s="109"/>
      <c r="AP529" s="109"/>
      <c r="AQ529" s="109"/>
      <c r="AR529" s="109"/>
      <c r="AS529" s="109"/>
      <c r="AT529" s="109"/>
      <c r="AU529" s="109"/>
      <c r="AV529" s="109"/>
      <c r="AW529" s="109"/>
      <c r="AX529" s="109"/>
      <c r="AY529" s="109"/>
      <c r="AZ529" s="109"/>
      <c r="BA529" s="109"/>
      <c r="BB529" s="109"/>
      <c r="BC529" s="109"/>
      <c r="BD529" s="109"/>
      <c r="BE529" s="109"/>
      <c r="BF529" s="109"/>
      <c r="BG529" s="109"/>
      <c r="BH529" s="109"/>
      <c r="BI529" s="109"/>
      <c r="BJ529" s="109"/>
      <c r="BK529" s="109"/>
      <c r="BL529" s="109"/>
      <c r="BM529" s="109"/>
      <c r="BN529" s="109"/>
      <c r="BO529" s="109"/>
      <c r="BP529" s="109"/>
      <c r="BQ529" s="109"/>
      <c r="BR529" s="109"/>
      <c r="BS529" s="109"/>
      <c r="BT529" s="109"/>
      <c r="BU529" s="109"/>
    </row>
    <row r="530" ht="15.75" customHeight="1">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10"/>
      <c r="X530" s="109"/>
      <c r="Y530" s="109"/>
      <c r="Z530" s="109"/>
      <c r="AA530" s="109"/>
      <c r="AB530" s="109"/>
      <c r="AC530" s="109"/>
      <c r="AD530" s="109"/>
      <c r="AE530" s="109"/>
      <c r="AF530" s="109"/>
      <c r="AG530" s="109"/>
      <c r="AH530" s="109"/>
      <c r="AI530" s="109"/>
      <c r="AJ530" s="109"/>
      <c r="AK530" s="109"/>
      <c r="AL530" s="109"/>
      <c r="AM530" s="109"/>
      <c r="AN530" s="109"/>
      <c r="AO530" s="109"/>
      <c r="AP530" s="109"/>
      <c r="AQ530" s="109"/>
      <c r="AR530" s="109"/>
      <c r="AS530" s="109"/>
      <c r="AT530" s="109"/>
      <c r="AU530" s="109"/>
      <c r="AV530" s="109"/>
      <c r="AW530" s="109"/>
      <c r="AX530" s="109"/>
      <c r="AY530" s="109"/>
      <c r="AZ530" s="109"/>
      <c r="BA530" s="109"/>
      <c r="BB530" s="109"/>
      <c r="BC530" s="109"/>
      <c r="BD530" s="109"/>
      <c r="BE530" s="109"/>
      <c r="BF530" s="109"/>
      <c r="BG530" s="109"/>
      <c r="BH530" s="109"/>
      <c r="BI530" s="109"/>
      <c r="BJ530" s="109"/>
      <c r="BK530" s="109"/>
      <c r="BL530" s="109"/>
      <c r="BM530" s="109"/>
      <c r="BN530" s="109"/>
      <c r="BO530" s="109"/>
      <c r="BP530" s="109"/>
      <c r="BQ530" s="109"/>
      <c r="BR530" s="109"/>
      <c r="BS530" s="109"/>
      <c r="BT530" s="109"/>
      <c r="BU530" s="109"/>
    </row>
    <row r="531" ht="15.75" customHeight="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10"/>
      <c r="X531" s="109"/>
      <c r="Y531" s="109"/>
      <c r="Z531" s="109"/>
      <c r="AA531" s="109"/>
      <c r="AB531" s="109"/>
      <c r="AC531" s="109"/>
      <c r="AD531" s="109"/>
      <c r="AE531" s="109"/>
      <c r="AF531" s="109"/>
      <c r="AG531" s="109"/>
      <c r="AH531" s="109"/>
      <c r="AI531" s="109"/>
      <c r="AJ531" s="109"/>
      <c r="AK531" s="109"/>
      <c r="AL531" s="109"/>
      <c r="AM531" s="109"/>
      <c r="AN531" s="109"/>
      <c r="AO531" s="109"/>
      <c r="AP531" s="109"/>
      <c r="AQ531" s="109"/>
      <c r="AR531" s="109"/>
      <c r="AS531" s="109"/>
      <c r="AT531" s="109"/>
      <c r="AU531" s="109"/>
      <c r="AV531" s="109"/>
      <c r="AW531" s="109"/>
      <c r="AX531" s="109"/>
      <c r="AY531" s="109"/>
      <c r="AZ531" s="109"/>
      <c r="BA531" s="109"/>
      <c r="BB531" s="109"/>
      <c r="BC531" s="109"/>
      <c r="BD531" s="109"/>
      <c r="BE531" s="109"/>
      <c r="BF531" s="109"/>
      <c r="BG531" s="109"/>
      <c r="BH531" s="109"/>
      <c r="BI531" s="109"/>
      <c r="BJ531" s="109"/>
      <c r="BK531" s="109"/>
      <c r="BL531" s="109"/>
      <c r="BM531" s="109"/>
      <c r="BN531" s="109"/>
      <c r="BO531" s="109"/>
      <c r="BP531" s="109"/>
      <c r="BQ531" s="109"/>
      <c r="BR531" s="109"/>
      <c r="BS531" s="109"/>
      <c r="BT531" s="109"/>
      <c r="BU531" s="109"/>
    </row>
    <row r="532" ht="15.75" customHeight="1">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10"/>
      <c r="X532" s="109"/>
      <c r="Y532" s="109"/>
      <c r="Z532" s="109"/>
      <c r="AA532" s="109"/>
      <c r="AB532" s="109"/>
      <c r="AC532" s="109"/>
      <c r="AD532" s="109"/>
      <c r="AE532" s="109"/>
      <c r="AF532" s="109"/>
      <c r="AG532" s="109"/>
      <c r="AH532" s="109"/>
      <c r="AI532" s="109"/>
      <c r="AJ532" s="109"/>
      <c r="AK532" s="109"/>
      <c r="AL532" s="109"/>
      <c r="AM532" s="109"/>
      <c r="AN532" s="109"/>
      <c r="AO532" s="109"/>
      <c r="AP532" s="109"/>
      <c r="AQ532" s="109"/>
      <c r="AR532" s="109"/>
      <c r="AS532" s="109"/>
      <c r="AT532" s="109"/>
      <c r="AU532" s="109"/>
      <c r="AV532" s="109"/>
      <c r="AW532" s="109"/>
      <c r="AX532" s="109"/>
      <c r="AY532" s="109"/>
      <c r="AZ532" s="109"/>
      <c r="BA532" s="109"/>
      <c r="BB532" s="109"/>
      <c r="BC532" s="109"/>
      <c r="BD532" s="109"/>
      <c r="BE532" s="109"/>
      <c r="BF532" s="109"/>
      <c r="BG532" s="109"/>
      <c r="BH532" s="109"/>
      <c r="BI532" s="109"/>
      <c r="BJ532" s="109"/>
      <c r="BK532" s="109"/>
      <c r="BL532" s="109"/>
      <c r="BM532" s="109"/>
      <c r="BN532" s="109"/>
      <c r="BO532" s="109"/>
      <c r="BP532" s="109"/>
      <c r="BQ532" s="109"/>
      <c r="BR532" s="109"/>
      <c r="BS532" s="109"/>
      <c r="BT532" s="109"/>
      <c r="BU532" s="109"/>
    </row>
    <row r="533" ht="15.75" customHeight="1">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10"/>
      <c r="X533" s="109"/>
      <c r="Y533" s="109"/>
      <c r="Z533" s="109"/>
      <c r="AA533" s="109"/>
      <c r="AB533" s="109"/>
      <c r="AC533" s="109"/>
      <c r="AD533" s="109"/>
      <c r="AE533" s="109"/>
      <c r="AF533" s="109"/>
      <c r="AG533" s="109"/>
      <c r="AH533" s="109"/>
      <c r="AI533" s="109"/>
      <c r="AJ533" s="109"/>
      <c r="AK533" s="109"/>
      <c r="AL533" s="109"/>
      <c r="AM533" s="109"/>
      <c r="AN533" s="109"/>
      <c r="AO533" s="109"/>
      <c r="AP533" s="109"/>
      <c r="AQ533" s="109"/>
      <c r="AR533" s="109"/>
      <c r="AS533" s="109"/>
      <c r="AT533" s="109"/>
      <c r="AU533" s="109"/>
      <c r="AV533" s="109"/>
      <c r="AW533" s="109"/>
      <c r="AX533" s="109"/>
      <c r="AY533" s="109"/>
      <c r="AZ533" s="109"/>
      <c r="BA533" s="109"/>
      <c r="BB533" s="109"/>
      <c r="BC533" s="109"/>
      <c r="BD533" s="109"/>
      <c r="BE533" s="109"/>
      <c r="BF533" s="109"/>
      <c r="BG533" s="109"/>
      <c r="BH533" s="109"/>
      <c r="BI533" s="109"/>
      <c r="BJ533" s="109"/>
      <c r="BK533" s="109"/>
      <c r="BL533" s="109"/>
      <c r="BM533" s="109"/>
      <c r="BN533" s="109"/>
      <c r="BO533" s="109"/>
      <c r="BP533" s="109"/>
      <c r="BQ533" s="109"/>
      <c r="BR533" s="109"/>
      <c r="BS533" s="109"/>
      <c r="BT533" s="109"/>
      <c r="BU533" s="109"/>
    </row>
    <row r="534" ht="15.75" customHeight="1">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10"/>
      <c r="X534" s="109"/>
      <c r="Y534" s="109"/>
      <c r="Z534" s="109"/>
      <c r="AA534" s="109"/>
      <c r="AB534" s="109"/>
      <c r="AC534" s="109"/>
      <c r="AD534" s="109"/>
      <c r="AE534" s="109"/>
      <c r="AF534" s="109"/>
      <c r="AG534" s="109"/>
      <c r="AH534" s="109"/>
      <c r="AI534" s="109"/>
      <c r="AJ534" s="109"/>
      <c r="AK534" s="109"/>
      <c r="AL534" s="109"/>
      <c r="AM534" s="109"/>
      <c r="AN534" s="109"/>
      <c r="AO534" s="109"/>
      <c r="AP534" s="109"/>
      <c r="AQ534" s="109"/>
      <c r="AR534" s="109"/>
      <c r="AS534" s="109"/>
      <c r="AT534" s="109"/>
      <c r="AU534" s="109"/>
      <c r="AV534" s="109"/>
      <c r="AW534" s="109"/>
      <c r="AX534" s="109"/>
      <c r="AY534" s="109"/>
      <c r="AZ534" s="109"/>
      <c r="BA534" s="109"/>
      <c r="BB534" s="109"/>
      <c r="BC534" s="109"/>
      <c r="BD534" s="109"/>
      <c r="BE534" s="109"/>
      <c r="BF534" s="109"/>
      <c r="BG534" s="109"/>
      <c r="BH534" s="109"/>
      <c r="BI534" s="109"/>
      <c r="BJ534" s="109"/>
      <c r="BK534" s="109"/>
      <c r="BL534" s="109"/>
      <c r="BM534" s="109"/>
      <c r="BN534" s="109"/>
      <c r="BO534" s="109"/>
      <c r="BP534" s="109"/>
      <c r="BQ534" s="109"/>
      <c r="BR534" s="109"/>
      <c r="BS534" s="109"/>
      <c r="BT534" s="109"/>
      <c r="BU534" s="109"/>
    </row>
    <row r="535" ht="15.75" customHeight="1">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10"/>
      <c r="X535" s="109"/>
      <c r="Y535" s="109"/>
      <c r="Z535" s="109"/>
      <c r="AA535" s="109"/>
      <c r="AB535" s="109"/>
      <c r="AC535" s="109"/>
      <c r="AD535" s="109"/>
      <c r="AE535" s="109"/>
      <c r="AF535" s="109"/>
      <c r="AG535" s="109"/>
      <c r="AH535" s="109"/>
      <c r="AI535" s="109"/>
      <c r="AJ535" s="109"/>
      <c r="AK535" s="109"/>
      <c r="AL535" s="109"/>
      <c r="AM535" s="109"/>
      <c r="AN535" s="109"/>
      <c r="AO535" s="109"/>
      <c r="AP535" s="109"/>
      <c r="AQ535" s="109"/>
      <c r="AR535" s="109"/>
      <c r="AS535" s="109"/>
      <c r="AT535" s="109"/>
      <c r="AU535" s="109"/>
      <c r="AV535" s="109"/>
      <c r="AW535" s="109"/>
      <c r="AX535" s="109"/>
      <c r="AY535" s="109"/>
      <c r="AZ535" s="109"/>
      <c r="BA535" s="109"/>
      <c r="BB535" s="109"/>
      <c r="BC535" s="109"/>
      <c r="BD535" s="109"/>
      <c r="BE535" s="109"/>
      <c r="BF535" s="109"/>
      <c r="BG535" s="109"/>
      <c r="BH535" s="109"/>
      <c r="BI535" s="109"/>
      <c r="BJ535" s="109"/>
      <c r="BK535" s="109"/>
      <c r="BL535" s="109"/>
      <c r="BM535" s="109"/>
      <c r="BN535" s="109"/>
      <c r="BO535" s="109"/>
      <c r="BP535" s="109"/>
      <c r="BQ535" s="109"/>
      <c r="BR535" s="109"/>
      <c r="BS535" s="109"/>
      <c r="BT535" s="109"/>
      <c r="BU535" s="109"/>
    </row>
    <row r="536" ht="15.75" customHeight="1">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10"/>
      <c r="X536" s="109"/>
      <c r="Y536" s="109"/>
      <c r="Z536" s="109"/>
      <c r="AA536" s="109"/>
      <c r="AB536" s="109"/>
      <c r="AC536" s="109"/>
      <c r="AD536" s="109"/>
      <c r="AE536" s="109"/>
      <c r="AF536" s="109"/>
      <c r="AG536" s="109"/>
      <c r="AH536" s="109"/>
      <c r="AI536" s="109"/>
      <c r="AJ536" s="109"/>
      <c r="AK536" s="109"/>
      <c r="AL536" s="109"/>
      <c r="AM536" s="109"/>
      <c r="AN536" s="109"/>
      <c r="AO536" s="109"/>
      <c r="AP536" s="109"/>
      <c r="AQ536" s="109"/>
      <c r="AR536" s="109"/>
      <c r="AS536" s="109"/>
      <c r="AT536" s="109"/>
      <c r="AU536" s="109"/>
      <c r="AV536" s="109"/>
      <c r="AW536" s="109"/>
      <c r="AX536" s="109"/>
      <c r="AY536" s="109"/>
      <c r="AZ536" s="109"/>
      <c r="BA536" s="109"/>
      <c r="BB536" s="109"/>
      <c r="BC536" s="109"/>
      <c r="BD536" s="109"/>
      <c r="BE536" s="109"/>
      <c r="BF536" s="109"/>
      <c r="BG536" s="109"/>
      <c r="BH536" s="109"/>
      <c r="BI536" s="109"/>
      <c r="BJ536" s="109"/>
      <c r="BK536" s="109"/>
      <c r="BL536" s="109"/>
      <c r="BM536" s="109"/>
      <c r="BN536" s="109"/>
      <c r="BO536" s="109"/>
      <c r="BP536" s="109"/>
      <c r="BQ536" s="109"/>
      <c r="BR536" s="109"/>
      <c r="BS536" s="109"/>
      <c r="BT536" s="109"/>
      <c r="BU536" s="109"/>
    </row>
    <row r="537" ht="15.75" customHeight="1">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10"/>
      <c r="X537" s="109"/>
      <c r="Y537" s="109"/>
      <c r="Z537" s="109"/>
      <c r="AA537" s="109"/>
      <c r="AB537" s="109"/>
      <c r="AC537" s="109"/>
      <c r="AD537" s="109"/>
      <c r="AE537" s="109"/>
      <c r="AF537" s="109"/>
      <c r="AG537" s="109"/>
      <c r="AH537" s="109"/>
      <c r="AI537" s="109"/>
      <c r="AJ537" s="109"/>
      <c r="AK537" s="109"/>
      <c r="AL537" s="109"/>
      <c r="AM537" s="109"/>
      <c r="AN537" s="109"/>
      <c r="AO537" s="109"/>
      <c r="AP537" s="109"/>
      <c r="AQ537" s="109"/>
      <c r="AR537" s="109"/>
      <c r="AS537" s="109"/>
      <c r="AT537" s="109"/>
      <c r="AU537" s="109"/>
      <c r="AV537" s="109"/>
      <c r="AW537" s="109"/>
      <c r="AX537" s="109"/>
      <c r="AY537" s="109"/>
      <c r="AZ537" s="109"/>
      <c r="BA537" s="109"/>
      <c r="BB537" s="109"/>
      <c r="BC537" s="109"/>
      <c r="BD537" s="109"/>
      <c r="BE537" s="109"/>
      <c r="BF537" s="109"/>
      <c r="BG537" s="109"/>
      <c r="BH537" s="109"/>
      <c r="BI537" s="109"/>
      <c r="BJ537" s="109"/>
      <c r="BK537" s="109"/>
      <c r="BL537" s="109"/>
      <c r="BM537" s="109"/>
      <c r="BN537" s="109"/>
      <c r="BO537" s="109"/>
      <c r="BP537" s="109"/>
      <c r="BQ537" s="109"/>
      <c r="BR537" s="109"/>
      <c r="BS537" s="109"/>
      <c r="BT537" s="109"/>
      <c r="BU537" s="109"/>
    </row>
    <row r="538" ht="15.75" customHeight="1">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10"/>
      <c r="X538" s="109"/>
      <c r="Y538" s="109"/>
      <c r="Z538" s="109"/>
      <c r="AA538" s="109"/>
      <c r="AB538" s="109"/>
      <c r="AC538" s="109"/>
      <c r="AD538" s="109"/>
      <c r="AE538" s="109"/>
      <c r="AF538" s="109"/>
      <c r="AG538" s="109"/>
      <c r="AH538" s="109"/>
      <c r="AI538" s="109"/>
      <c r="AJ538" s="109"/>
      <c r="AK538" s="109"/>
      <c r="AL538" s="109"/>
      <c r="AM538" s="109"/>
      <c r="AN538" s="109"/>
      <c r="AO538" s="109"/>
      <c r="AP538" s="109"/>
      <c r="AQ538" s="109"/>
      <c r="AR538" s="109"/>
      <c r="AS538" s="109"/>
      <c r="AT538" s="109"/>
      <c r="AU538" s="109"/>
      <c r="AV538" s="109"/>
      <c r="AW538" s="109"/>
      <c r="AX538" s="109"/>
      <c r="AY538" s="109"/>
      <c r="AZ538" s="109"/>
      <c r="BA538" s="109"/>
      <c r="BB538" s="109"/>
      <c r="BC538" s="109"/>
      <c r="BD538" s="109"/>
      <c r="BE538" s="109"/>
      <c r="BF538" s="109"/>
      <c r="BG538" s="109"/>
      <c r="BH538" s="109"/>
      <c r="BI538" s="109"/>
      <c r="BJ538" s="109"/>
      <c r="BK538" s="109"/>
      <c r="BL538" s="109"/>
      <c r="BM538" s="109"/>
      <c r="BN538" s="109"/>
      <c r="BO538" s="109"/>
      <c r="BP538" s="109"/>
      <c r="BQ538" s="109"/>
      <c r="BR538" s="109"/>
      <c r="BS538" s="109"/>
      <c r="BT538" s="109"/>
      <c r="BU538" s="109"/>
    </row>
    <row r="539" ht="15.75" customHeight="1">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10"/>
      <c r="X539" s="109"/>
      <c r="Y539" s="109"/>
      <c r="Z539" s="109"/>
      <c r="AA539" s="109"/>
      <c r="AB539" s="109"/>
      <c r="AC539" s="109"/>
      <c r="AD539" s="109"/>
      <c r="AE539" s="109"/>
      <c r="AF539" s="109"/>
      <c r="AG539" s="109"/>
      <c r="AH539" s="109"/>
      <c r="AI539" s="109"/>
      <c r="AJ539" s="109"/>
      <c r="AK539" s="109"/>
      <c r="AL539" s="109"/>
      <c r="AM539" s="109"/>
      <c r="AN539" s="109"/>
      <c r="AO539" s="109"/>
      <c r="AP539" s="109"/>
      <c r="AQ539" s="109"/>
      <c r="AR539" s="109"/>
      <c r="AS539" s="109"/>
      <c r="AT539" s="109"/>
      <c r="AU539" s="109"/>
      <c r="AV539" s="109"/>
      <c r="AW539" s="109"/>
      <c r="AX539" s="109"/>
      <c r="AY539" s="109"/>
      <c r="AZ539" s="109"/>
      <c r="BA539" s="109"/>
      <c r="BB539" s="109"/>
      <c r="BC539" s="109"/>
      <c r="BD539" s="109"/>
      <c r="BE539" s="109"/>
      <c r="BF539" s="109"/>
      <c r="BG539" s="109"/>
      <c r="BH539" s="109"/>
      <c r="BI539" s="109"/>
      <c r="BJ539" s="109"/>
      <c r="BK539" s="109"/>
      <c r="BL539" s="109"/>
      <c r="BM539" s="109"/>
      <c r="BN539" s="109"/>
      <c r="BO539" s="109"/>
      <c r="BP539" s="109"/>
      <c r="BQ539" s="109"/>
      <c r="BR539" s="109"/>
      <c r="BS539" s="109"/>
      <c r="BT539" s="109"/>
      <c r="BU539" s="109"/>
    </row>
    <row r="540" ht="15.75" customHeight="1">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10"/>
      <c r="X540" s="109"/>
      <c r="Y540" s="109"/>
      <c r="Z540" s="109"/>
      <c r="AA540" s="109"/>
      <c r="AB540" s="109"/>
      <c r="AC540" s="109"/>
      <c r="AD540" s="109"/>
      <c r="AE540" s="109"/>
      <c r="AF540" s="109"/>
      <c r="AG540" s="109"/>
      <c r="AH540" s="109"/>
      <c r="AI540" s="109"/>
      <c r="AJ540" s="109"/>
      <c r="AK540" s="109"/>
      <c r="AL540" s="109"/>
      <c r="AM540" s="109"/>
      <c r="AN540" s="109"/>
      <c r="AO540" s="109"/>
      <c r="AP540" s="109"/>
      <c r="AQ540" s="109"/>
      <c r="AR540" s="109"/>
      <c r="AS540" s="109"/>
      <c r="AT540" s="109"/>
      <c r="AU540" s="109"/>
      <c r="AV540" s="109"/>
      <c r="AW540" s="109"/>
      <c r="AX540" s="109"/>
      <c r="AY540" s="109"/>
      <c r="AZ540" s="109"/>
      <c r="BA540" s="109"/>
      <c r="BB540" s="109"/>
      <c r="BC540" s="109"/>
      <c r="BD540" s="109"/>
      <c r="BE540" s="109"/>
      <c r="BF540" s="109"/>
      <c r="BG540" s="109"/>
      <c r="BH540" s="109"/>
      <c r="BI540" s="109"/>
      <c r="BJ540" s="109"/>
      <c r="BK540" s="109"/>
      <c r="BL540" s="109"/>
      <c r="BM540" s="109"/>
      <c r="BN540" s="109"/>
      <c r="BO540" s="109"/>
      <c r="BP540" s="109"/>
      <c r="BQ540" s="109"/>
      <c r="BR540" s="109"/>
      <c r="BS540" s="109"/>
      <c r="BT540" s="109"/>
      <c r="BU540" s="109"/>
    </row>
    <row r="541" ht="15.75" customHeight="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10"/>
      <c r="X541" s="109"/>
      <c r="Y541" s="109"/>
      <c r="Z541" s="109"/>
      <c r="AA541" s="109"/>
      <c r="AB541" s="109"/>
      <c r="AC541" s="109"/>
      <c r="AD541" s="109"/>
      <c r="AE541" s="109"/>
      <c r="AF541" s="109"/>
      <c r="AG541" s="109"/>
      <c r="AH541" s="109"/>
      <c r="AI541" s="109"/>
      <c r="AJ541" s="109"/>
      <c r="AK541" s="109"/>
      <c r="AL541" s="109"/>
      <c r="AM541" s="109"/>
      <c r="AN541" s="109"/>
      <c r="AO541" s="109"/>
      <c r="AP541" s="109"/>
      <c r="AQ541" s="109"/>
      <c r="AR541" s="109"/>
      <c r="AS541" s="109"/>
      <c r="AT541" s="109"/>
      <c r="AU541" s="109"/>
      <c r="AV541" s="109"/>
      <c r="AW541" s="109"/>
      <c r="AX541" s="109"/>
      <c r="AY541" s="109"/>
      <c r="AZ541" s="109"/>
      <c r="BA541" s="109"/>
      <c r="BB541" s="109"/>
      <c r="BC541" s="109"/>
      <c r="BD541" s="109"/>
      <c r="BE541" s="109"/>
      <c r="BF541" s="109"/>
      <c r="BG541" s="109"/>
      <c r="BH541" s="109"/>
      <c r="BI541" s="109"/>
      <c r="BJ541" s="109"/>
      <c r="BK541" s="109"/>
      <c r="BL541" s="109"/>
      <c r="BM541" s="109"/>
      <c r="BN541" s="109"/>
      <c r="BO541" s="109"/>
      <c r="BP541" s="109"/>
      <c r="BQ541" s="109"/>
      <c r="BR541" s="109"/>
      <c r="BS541" s="109"/>
      <c r="BT541" s="109"/>
      <c r="BU541" s="109"/>
    </row>
    <row r="542" ht="15.75" customHeight="1">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10"/>
      <c r="X542" s="109"/>
      <c r="Y542" s="109"/>
      <c r="Z542" s="109"/>
      <c r="AA542" s="109"/>
      <c r="AB542" s="109"/>
      <c r="AC542" s="109"/>
      <c r="AD542" s="109"/>
      <c r="AE542" s="109"/>
      <c r="AF542" s="109"/>
      <c r="AG542" s="109"/>
      <c r="AH542" s="109"/>
      <c r="AI542" s="109"/>
      <c r="AJ542" s="109"/>
      <c r="AK542" s="109"/>
      <c r="AL542" s="109"/>
      <c r="AM542" s="109"/>
      <c r="AN542" s="109"/>
      <c r="AO542" s="109"/>
      <c r="AP542" s="109"/>
      <c r="AQ542" s="109"/>
      <c r="AR542" s="109"/>
      <c r="AS542" s="109"/>
      <c r="AT542" s="109"/>
      <c r="AU542" s="109"/>
      <c r="AV542" s="109"/>
      <c r="AW542" s="109"/>
      <c r="AX542" s="109"/>
      <c r="AY542" s="109"/>
      <c r="AZ542" s="109"/>
      <c r="BA542" s="109"/>
      <c r="BB542" s="109"/>
      <c r="BC542" s="109"/>
      <c r="BD542" s="109"/>
      <c r="BE542" s="109"/>
      <c r="BF542" s="109"/>
      <c r="BG542" s="109"/>
      <c r="BH542" s="109"/>
      <c r="BI542" s="109"/>
      <c r="BJ542" s="109"/>
      <c r="BK542" s="109"/>
      <c r="BL542" s="109"/>
      <c r="BM542" s="109"/>
      <c r="BN542" s="109"/>
      <c r="BO542" s="109"/>
      <c r="BP542" s="109"/>
      <c r="BQ542" s="109"/>
      <c r="BR542" s="109"/>
      <c r="BS542" s="109"/>
      <c r="BT542" s="109"/>
      <c r="BU542" s="109"/>
    </row>
    <row r="543" ht="15.75" customHeight="1">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10"/>
      <c r="X543" s="109"/>
      <c r="Y543" s="109"/>
      <c r="Z543" s="109"/>
      <c r="AA543" s="109"/>
      <c r="AB543" s="109"/>
      <c r="AC543" s="109"/>
      <c r="AD543" s="109"/>
      <c r="AE543" s="109"/>
      <c r="AF543" s="109"/>
      <c r="AG543" s="109"/>
      <c r="AH543" s="109"/>
      <c r="AI543" s="109"/>
      <c r="AJ543" s="109"/>
      <c r="AK543" s="109"/>
      <c r="AL543" s="109"/>
      <c r="AM543" s="109"/>
      <c r="AN543" s="109"/>
      <c r="AO543" s="109"/>
      <c r="AP543" s="109"/>
      <c r="AQ543" s="109"/>
      <c r="AR543" s="109"/>
      <c r="AS543" s="109"/>
      <c r="AT543" s="109"/>
      <c r="AU543" s="109"/>
      <c r="AV543" s="109"/>
      <c r="AW543" s="109"/>
      <c r="AX543" s="109"/>
      <c r="AY543" s="109"/>
      <c r="AZ543" s="109"/>
      <c r="BA543" s="109"/>
      <c r="BB543" s="109"/>
      <c r="BC543" s="109"/>
      <c r="BD543" s="109"/>
      <c r="BE543" s="109"/>
      <c r="BF543" s="109"/>
      <c r="BG543" s="109"/>
      <c r="BH543" s="109"/>
      <c r="BI543" s="109"/>
      <c r="BJ543" s="109"/>
      <c r="BK543" s="109"/>
      <c r="BL543" s="109"/>
      <c r="BM543" s="109"/>
      <c r="BN543" s="109"/>
      <c r="BO543" s="109"/>
      <c r="BP543" s="109"/>
      <c r="BQ543" s="109"/>
      <c r="BR543" s="109"/>
      <c r="BS543" s="109"/>
      <c r="BT543" s="109"/>
      <c r="BU543" s="109"/>
    </row>
    <row r="544" ht="15.75" customHeight="1">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10"/>
      <c r="X544" s="109"/>
      <c r="Y544" s="109"/>
      <c r="Z544" s="109"/>
      <c r="AA544" s="109"/>
      <c r="AB544" s="109"/>
      <c r="AC544" s="109"/>
      <c r="AD544" s="109"/>
      <c r="AE544" s="109"/>
      <c r="AF544" s="109"/>
      <c r="AG544" s="109"/>
      <c r="AH544" s="109"/>
      <c r="AI544" s="109"/>
      <c r="AJ544" s="109"/>
      <c r="AK544" s="109"/>
      <c r="AL544" s="109"/>
      <c r="AM544" s="109"/>
      <c r="AN544" s="109"/>
      <c r="AO544" s="109"/>
      <c r="AP544" s="109"/>
      <c r="AQ544" s="109"/>
      <c r="AR544" s="109"/>
      <c r="AS544" s="109"/>
      <c r="AT544" s="109"/>
      <c r="AU544" s="109"/>
      <c r="AV544" s="109"/>
      <c r="AW544" s="109"/>
      <c r="AX544" s="109"/>
      <c r="AY544" s="109"/>
      <c r="AZ544" s="109"/>
      <c r="BA544" s="109"/>
      <c r="BB544" s="109"/>
      <c r="BC544" s="109"/>
      <c r="BD544" s="109"/>
      <c r="BE544" s="109"/>
      <c r="BF544" s="109"/>
      <c r="BG544" s="109"/>
      <c r="BH544" s="109"/>
      <c r="BI544" s="109"/>
      <c r="BJ544" s="109"/>
      <c r="BK544" s="109"/>
      <c r="BL544" s="109"/>
      <c r="BM544" s="109"/>
      <c r="BN544" s="109"/>
      <c r="BO544" s="109"/>
      <c r="BP544" s="109"/>
      <c r="BQ544" s="109"/>
      <c r="BR544" s="109"/>
      <c r="BS544" s="109"/>
      <c r="BT544" s="109"/>
      <c r="BU544" s="109"/>
    </row>
    <row r="545" ht="15.75" customHeight="1">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10"/>
      <c r="X545" s="109"/>
      <c r="Y545" s="109"/>
      <c r="Z545" s="109"/>
      <c r="AA545" s="109"/>
      <c r="AB545" s="109"/>
      <c r="AC545" s="109"/>
      <c r="AD545" s="109"/>
      <c r="AE545" s="109"/>
      <c r="AF545" s="109"/>
      <c r="AG545" s="109"/>
      <c r="AH545" s="109"/>
      <c r="AI545" s="109"/>
      <c r="AJ545" s="109"/>
      <c r="AK545" s="109"/>
      <c r="AL545" s="109"/>
      <c r="AM545" s="109"/>
      <c r="AN545" s="109"/>
      <c r="AO545" s="109"/>
      <c r="AP545" s="109"/>
      <c r="AQ545" s="109"/>
      <c r="AR545" s="109"/>
      <c r="AS545" s="109"/>
      <c r="AT545" s="109"/>
      <c r="AU545" s="109"/>
      <c r="AV545" s="109"/>
      <c r="AW545" s="109"/>
      <c r="AX545" s="109"/>
      <c r="AY545" s="109"/>
      <c r="AZ545" s="109"/>
      <c r="BA545" s="109"/>
      <c r="BB545" s="109"/>
      <c r="BC545" s="109"/>
      <c r="BD545" s="109"/>
      <c r="BE545" s="109"/>
      <c r="BF545" s="109"/>
      <c r="BG545" s="109"/>
      <c r="BH545" s="109"/>
      <c r="BI545" s="109"/>
      <c r="BJ545" s="109"/>
      <c r="BK545" s="109"/>
      <c r="BL545" s="109"/>
      <c r="BM545" s="109"/>
      <c r="BN545" s="109"/>
      <c r="BO545" s="109"/>
      <c r="BP545" s="109"/>
      <c r="BQ545" s="109"/>
      <c r="BR545" s="109"/>
      <c r="BS545" s="109"/>
      <c r="BT545" s="109"/>
      <c r="BU545" s="109"/>
    </row>
    <row r="546" ht="15.75" customHeight="1">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10"/>
      <c r="X546" s="109"/>
      <c r="Y546" s="109"/>
      <c r="Z546" s="109"/>
      <c r="AA546" s="109"/>
      <c r="AB546" s="109"/>
      <c r="AC546" s="109"/>
      <c r="AD546" s="109"/>
      <c r="AE546" s="109"/>
      <c r="AF546" s="109"/>
      <c r="AG546" s="109"/>
      <c r="AH546" s="109"/>
      <c r="AI546" s="109"/>
      <c r="AJ546" s="109"/>
      <c r="AK546" s="109"/>
      <c r="AL546" s="109"/>
      <c r="AM546" s="109"/>
      <c r="AN546" s="109"/>
      <c r="AO546" s="109"/>
      <c r="AP546" s="109"/>
      <c r="AQ546" s="109"/>
      <c r="AR546" s="109"/>
      <c r="AS546" s="109"/>
      <c r="AT546" s="109"/>
      <c r="AU546" s="109"/>
      <c r="AV546" s="109"/>
      <c r="AW546" s="109"/>
      <c r="AX546" s="109"/>
      <c r="AY546" s="109"/>
      <c r="AZ546" s="109"/>
      <c r="BA546" s="109"/>
      <c r="BB546" s="109"/>
      <c r="BC546" s="109"/>
      <c r="BD546" s="109"/>
      <c r="BE546" s="109"/>
      <c r="BF546" s="109"/>
      <c r="BG546" s="109"/>
      <c r="BH546" s="109"/>
      <c r="BI546" s="109"/>
      <c r="BJ546" s="109"/>
      <c r="BK546" s="109"/>
      <c r="BL546" s="109"/>
      <c r="BM546" s="109"/>
      <c r="BN546" s="109"/>
      <c r="BO546" s="109"/>
      <c r="BP546" s="109"/>
      <c r="BQ546" s="109"/>
      <c r="BR546" s="109"/>
      <c r="BS546" s="109"/>
      <c r="BT546" s="109"/>
      <c r="BU546" s="109"/>
    </row>
    <row r="547" ht="15.75" customHeight="1">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10"/>
      <c r="X547" s="109"/>
      <c r="Y547" s="109"/>
      <c r="Z547" s="109"/>
      <c r="AA547" s="109"/>
      <c r="AB547" s="109"/>
      <c r="AC547" s="109"/>
      <c r="AD547" s="109"/>
      <c r="AE547" s="109"/>
      <c r="AF547" s="109"/>
      <c r="AG547" s="109"/>
      <c r="AH547" s="109"/>
      <c r="AI547" s="109"/>
      <c r="AJ547" s="109"/>
      <c r="AK547" s="109"/>
      <c r="AL547" s="109"/>
      <c r="AM547" s="109"/>
      <c r="AN547" s="109"/>
      <c r="AO547" s="109"/>
      <c r="AP547" s="109"/>
      <c r="AQ547" s="109"/>
      <c r="AR547" s="109"/>
      <c r="AS547" s="109"/>
      <c r="AT547" s="109"/>
      <c r="AU547" s="109"/>
      <c r="AV547" s="109"/>
      <c r="AW547" s="109"/>
      <c r="AX547" s="109"/>
      <c r="AY547" s="109"/>
      <c r="AZ547" s="109"/>
      <c r="BA547" s="109"/>
      <c r="BB547" s="109"/>
      <c r="BC547" s="109"/>
      <c r="BD547" s="109"/>
      <c r="BE547" s="109"/>
      <c r="BF547" s="109"/>
      <c r="BG547" s="109"/>
      <c r="BH547" s="109"/>
      <c r="BI547" s="109"/>
      <c r="BJ547" s="109"/>
      <c r="BK547" s="109"/>
      <c r="BL547" s="109"/>
      <c r="BM547" s="109"/>
      <c r="BN547" s="109"/>
      <c r="BO547" s="109"/>
      <c r="BP547" s="109"/>
      <c r="BQ547" s="109"/>
      <c r="BR547" s="109"/>
      <c r="BS547" s="109"/>
      <c r="BT547" s="109"/>
      <c r="BU547" s="109"/>
    </row>
    <row r="548" ht="15.75" customHeight="1">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10"/>
      <c r="X548" s="109"/>
      <c r="Y548" s="109"/>
      <c r="Z548" s="109"/>
      <c r="AA548" s="109"/>
      <c r="AB548" s="109"/>
      <c r="AC548" s="109"/>
      <c r="AD548" s="109"/>
      <c r="AE548" s="109"/>
      <c r="AF548" s="109"/>
      <c r="AG548" s="109"/>
      <c r="AH548" s="109"/>
      <c r="AI548" s="109"/>
      <c r="AJ548" s="109"/>
      <c r="AK548" s="109"/>
      <c r="AL548" s="109"/>
      <c r="AM548" s="109"/>
      <c r="AN548" s="109"/>
      <c r="AO548" s="109"/>
      <c r="AP548" s="109"/>
      <c r="AQ548" s="109"/>
      <c r="AR548" s="109"/>
      <c r="AS548" s="109"/>
      <c r="AT548" s="109"/>
      <c r="AU548" s="109"/>
      <c r="AV548" s="109"/>
      <c r="AW548" s="109"/>
      <c r="AX548" s="109"/>
      <c r="AY548" s="109"/>
      <c r="AZ548" s="109"/>
      <c r="BA548" s="109"/>
      <c r="BB548" s="109"/>
      <c r="BC548" s="109"/>
      <c r="BD548" s="109"/>
      <c r="BE548" s="109"/>
      <c r="BF548" s="109"/>
      <c r="BG548" s="109"/>
      <c r="BH548" s="109"/>
      <c r="BI548" s="109"/>
      <c r="BJ548" s="109"/>
      <c r="BK548" s="109"/>
      <c r="BL548" s="109"/>
      <c r="BM548" s="109"/>
      <c r="BN548" s="109"/>
      <c r="BO548" s="109"/>
      <c r="BP548" s="109"/>
      <c r="BQ548" s="109"/>
      <c r="BR548" s="109"/>
      <c r="BS548" s="109"/>
      <c r="BT548" s="109"/>
      <c r="BU548" s="109"/>
    </row>
    <row r="549" ht="15.75" customHeight="1">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10"/>
      <c r="X549" s="109"/>
      <c r="Y549" s="109"/>
      <c r="Z549" s="109"/>
      <c r="AA549" s="109"/>
      <c r="AB549" s="109"/>
      <c r="AC549" s="109"/>
      <c r="AD549" s="109"/>
      <c r="AE549" s="109"/>
      <c r="AF549" s="109"/>
      <c r="AG549" s="109"/>
      <c r="AH549" s="109"/>
      <c r="AI549" s="109"/>
      <c r="AJ549" s="109"/>
      <c r="AK549" s="109"/>
      <c r="AL549" s="109"/>
      <c r="AM549" s="109"/>
      <c r="AN549" s="109"/>
      <c r="AO549" s="109"/>
      <c r="AP549" s="109"/>
      <c r="AQ549" s="109"/>
      <c r="AR549" s="109"/>
      <c r="AS549" s="109"/>
      <c r="AT549" s="109"/>
      <c r="AU549" s="109"/>
      <c r="AV549" s="109"/>
      <c r="AW549" s="109"/>
      <c r="AX549" s="109"/>
      <c r="AY549" s="109"/>
      <c r="AZ549" s="109"/>
      <c r="BA549" s="109"/>
      <c r="BB549" s="109"/>
      <c r="BC549" s="109"/>
      <c r="BD549" s="109"/>
      <c r="BE549" s="109"/>
      <c r="BF549" s="109"/>
      <c r="BG549" s="109"/>
      <c r="BH549" s="109"/>
      <c r="BI549" s="109"/>
      <c r="BJ549" s="109"/>
      <c r="BK549" s="109"/>
      <c r="BL549" s="109"/>
      <c r="BM549" s="109"/>
      <c r="BN549" s="109"/>
      <c r="BO549" s="109"/>
      <c r="BP549" s="109"/>
      <c r="BQ549" s="109"/>
      <c r="BR549" s="109"/>
      <c r="BS549" s="109"/>
      <c r="BT549" s="109"/>
      <c r="BU549" s="109"/>
    </row>
    <row r="550" ht="15.75" customHeight="1">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10"/>
      <c r="X550" s="109"/>
      <c r="Y550" s="109"/>
      <c r="Z550" s="109"/>
      <c r="AA550" s="109"/>
      <c r="AB550" s="109"/>
      <c r="AC550" s="109"/>
      <c r="AD550" s="109"/>
      <c r="AE550" s="109"/>
      <c r="AF550" s="109"/>
      <c r="AG550" s="109"/>
      <c r="AH550" s="109"/>
      <c r="AI550" s="109"/>
      <c r="AJ550" s="109"/>
      <c r="AK550" s="109"/>
      <c r="AL550" s="109"/>
      <c r="AM550" s="109"/>
      <c r="AN550" s="109"/>
      <c r="AO550" s="109"/>
      <c r="AP550" s="109"/>
      <c r="AQ550" s="109"/>
      <c r="AR550" s="109"/>
      <c r="AS550" s="109"/>
      <c r="AT550" s="109"/>
      <c r="AU550" s="109"/>
      <c r="AV550" s="109"/>
      <c r="AW550" s="109"/>
      <c r="AX550" s="109"/>
      <c r="AY550" s="109"/>
      <c r="AZ550" s="109"/>
      <c r="BA550" s="109"/>
      <c r="BB550" s="109"/>
      <c r="BC550" s="109"/>
      <c r="BD550" s="109"/>
      <c r="BE550" s="109"/>
      <c r="BF550" s="109"/>
      <c r="BG550" s="109"/>
      <c r="BH550" s="109"/>
      <c r="BI550" s="109"/>
      <c r="BJ550" s="109"/>
      <c r="BK550" s="109"/>
      <c r="BL550" s="109"/>
      <c r="BM550" s="109"/>
      <c r="BN550" s="109"/>
      <c r="BO550" s="109"/>
      <c r="BP550" s="109"/>
      <c r="BQ550" s="109"/>
      <c r="BR550" s="109"/>
      <c r="BS550" s="109"/>
      <c r="BT550" s="109"/>
      <c r="BU550" s="109"/>
    </row>
    <row r="551" ht="15.75" customHeight="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10"/>
      <c r="X551" s="109"/>
      <c r="Y551" s="109"/>
      <c r="Z551" s="109"/>
      <c r="AA551" s="109"/>
      <c r="AB551" s="109"/>
      <c r="AC551" s="109"/>
      <c r="AD551" s="109"/>
      <c r="AE551" s="109"/>
      <c r="AF551" s="109"/>
      <c r="AG551" s="109"/>
      <c r="AH551" s="109"/>
      <c r="AI551" s="109"/>
      <c r="AJ551" s="109"/>
      <c r="AK551" s="109"/>
      <c r="AL551" s="109"/>
      <c r="AM551" s="109"/>
      <c r="AN551" s="109"/>
      <c r="AO551" s="109"/>
      <c r="AP551" s="109"/>
      <c r="AQ551" s="109"/>
      <c r="AR551" s="109"/>
      <c r="AS551" s="109"/>
      <c r="AT551" s="109"/>
      <c r="AU551" s="109"/>
      <c r="AV551" s="109"/>
      <c r="AW551" s="109"/>
      <c r="AX551" s="109"/>
      <c r="AY551" s="109"/>
      <c r="AZ551" s="109"/>
      <c r="BA551" s="109"/>
      <c r="BB551" s="109"/>
      <c r="BC551" s="109"/>
      <c r="BD551" s="109"/>
      <c r="BE551" s="109"/>
      <c r="BF551" s="109"/>
      <c r="BG551" s="109"/>
      <c r="BH551" s="109"/>
      <c r="BI551" s="109"/>
      <c r="BJ551" s="109"/>
      <c r="BK551" s="109"/>
      <c r="BL551" s="109"/>
      <c r="BM551" s="109"/>
      <c r="BN551" s="109"/>
      <c r="BO551" s="109"/>
      <c r="BP551" s="109"/>
      <c r="BQ551" s="109"/>
      <c r="BR551" s="109"/>
      <c r="BS551" s="109"/>
      <c r="BT551" s="109"/>
      <c r="BU551" s="109"/>
    </row>
    <row r="552" ht="15.75" customHeight="1">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10"/>
      <c r="X552" s="109"/>
      <c r="Y552" s="109"/>
      <c r="Z552" s="109"/>
      <c r="AA552" s="109"/>
      <c r="AB552" s="109"/>
      <c r="AC552" s="109"/>
      <c r="AD552" s="109"/>
      <c r="AE552" s="109"/>
      <c r="AF552" s="109"/>
      <c r="AG552" s="109"/>
      <c r="AH552" s="109"/>
      <c r="AI552" s="109"/>
      <c r="AJ552" s="109"/>
      <c r="AK552" s="109"/>
      <c r="AL552" s="109"/>
      <c r="AM552" s="109"/>
      <c r="AN552" s="109"/>
      <c r="AO552" s="109"/>
      <c r="AP552" s="109"/>
      <c r="AQ552" s="109"/>
      <c r="AR552" s="109"/>
      <c r="AS552" s="109"/>
      <c r="AT552" s="109"/>
      <c r="AU552" s="109"/>
      <c r="AV552" s="109"/>
      <c r="AW552" s="109"/>
      <c r="AX552" s="109"/>
      <c r="AY552" s="109"/>
      <c r="AZ552" s="109"/>
      <c r="BA552" s="109"/>
      <c r="BB552" s="109"/>
      <c r="BC552" s="109"/>
      <c r="BD552" s="109"/>
      <c r="BE552" s="109"/>
      <c r="BF552" s="109"/>
      <c r="BG552" s="109"/>
      <c r="BH552" s="109"/>
      <c r="BI552" s="109"/>
      <c r="BJ552" s="109"/>
      <c r="BK552" s="109"/>
      <c r="BL552" s="109"/>
      <c r="BM552" s="109"/>
      <c r="BN552" s="109"/>
      <c r="BO552" s="109"/>
      <c r="BP552" s="109"/>
      <c r="BQ552" s="109"/>
      <c r="BR552" s="109"/>
      <c r="BS552" s="109"/>
      <c r="BT552" s="109"/>
      <c r="BU552" s="109"/>
    </row>
    <row r="553" ht="15.75" customHeight="1">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10"/>
      <c r="X553" s="109"/>
      <c r="Y553" s="109"/>
      <c r="Z553" s="109"/>
      <c r="AA553" s="109"/>
      <c r="AB553" s="109"/>
      <c r="AC553" s="109"/>
      <c r="AD553" s="109"/>
      <c r="AE553" s="109"/>
      <c r="AF553" s="109"/>
      <c r="AG553" s="109"/>
      <c r="AH553" s="109"/>
      <c r="AI553" s="109"/>
      <c r="AJ553" s="109"/>
      <c r="AK553" s="109"/>
      <c r="AL553" s="109"/>
      <c r="AM553" s="109"/>
      <c r="AN553" s="109"/>
      <c r="AO553" s="109"/>
      <c r="AP553" s="109"/>
      <c r="AQ553" s="109"/>
      <c r="AR553" s="109"/>
      <c r="AS553" s="109"/>
      <c r="AT553" s="109"/>
      <c r="AU553" s="109"/>
      <c r="AV553" s="109"/>
      <c r="AW553" s="109"/>
      <c r="AX553" s="109"/>
      <c r="AY553" s="109"/>
      <c r="AZ553" s="109"/>
      <c r="BA553" s="109"/>
      <c r="BB553" s="109"/>
      <c r="BC553" s="109"/>
      <c r="BD553" s="109"/>
      <c r="BE553" s="109"/>
      <c r="BF553" s="109"/>
      <c r="BG553" s="109"/>
      <c r="BH553" s="109"/>
      <c r="BI553" s="109"/>
      <c r="BJ553" s="109"/>
      <c r="BK553" s="109"/>
      <c r="BL553" s="109"/>
      <c r="BM553" s="109"/>
      <c r="BN553" s="109"/>
      <c r="BO553" s="109"/>
      <c r="BP553" s="109"/>
      <c r="BQ553" s="109"/>
      <c r="BR553" s="109"/>
      <c r="BS553" s="109"/>
      <c r="BT553" s="109"/>
      <c r="BU553" s="109"/>
    </row>
    <row r="554" ht="15.75" customHeight="1">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10"/>
      <c r="X554" s="109"/>
      <c r="Y554" s="109"/>
      <c r="Z554" s="109"/>
      <c r="AA554" s="109"/>
      <c r="AB554" s="109"/>
      <c r="AC554" s="109"/>
      <c r="AD554" s="109"/>
      <c r="AE554" s="109"/>
      <c r="AF554" s="109"/>
      <c r="AG554" s="109"/>
      <c r="AH554" s="109"/>
      <c r="AI554" s="109"/>
      <c r="AJ554" s="109"/>
      <c r="AK554" s="109"/>
      <c r="AL554" s="109"/>
      <c r="AM554" s="109"/>
      <c r="AN554" s="109"/>
      <c r="AO554" s="109"/>
      <c r="AP554" s="109"/>
      <c r="AQ554" s="109"/>
      <c r="AR554" s="109"/>
      <c r="AS554" s="109"/>
      <c r="AT554" s="109"/>
      <c r="AU554" s="109"/>
      <c r="AV554" s="109"/>
      <c r="AW554" s="109"/>
      <c r="AX554" s="109"/>
      <c r="AY554" s="109"/>
      <c r="AZ554" s="109"/>
      <c r="BA554" s="109"/>
      <c r="BB554" s="109"/>
      <c r="BC554" s="109"/>
      <c r="BD554" s="109"/>
      <c r="BE554" s="109"/>
      <c r="BF554" s="109"/>
      <c r="BG554" s="109"/>
      <c r="BH554" s="109"/>
      <c r="BI554" s="109"/>
      <c r="BJ554" s="109"/>
      <c r="BK554" s="109"/>
      <c r="BL554" s="109"/>
      <c r="BM554" s="109"/>
      <c r="BN554" s="109"/>
      <c r="BO554" s="109"/>
      <c r="BP554" s="109"/>
      <c r="BQ554" s="109"/>
      <c r="BR554" s="109"/>
      <c r="BS554" s="109"/>
      <c r="BT554" s="109"/>
      <c r="BU554" s="109"/>
    </row>
    <row r="555" ht="15.75" customHeight="1">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10"/>
      <c r="X555" s="109"/>
      <c r="Y555" s="109"/>
      <c r="Z555" s="109"/>
      <c r="AA555" s="109"/>
      <c r="AB555" s="109"/>
      <c r="AC555" s="109"/>
      <c r="AD555" s="109"/>
      <c r="AE555" s="109"/>
      <c r="AF555" s="109"/>
      <c r="AG555" s="109"/>
      <c r="AH555" s="109"/>
      <c r="AI555" s="109"/>
      <c r="AJ555" s="109"/>
      <c r="AK555" s="109"/>
      <c r="AL555" s="109"/>
      <c r="AM555" s="109"/>
      <c r="AN555" s="109"/>
      <c r="AO555" s="109"/>
      <c r="AP555" s="109"/>
      <c r="AQ555" s="109"/>
      <c r="AR555" s="109"/>
      <c r="AS555" s="109"/>
      <c r="AT555" s="109"/>
      <c r="AU555" s="109"/>
      <c r="AV555" s="109"/>
      <c r="AW555" s="109"/>
      <c r="AX555" s="109"/>
      <c r="AY555" s="109"/>
      <c r="AZ555" s="109"/>
      <c r="BA555" s="109"/>
      <c r="BB555" s="109"/>
      <c r="BC555" s="109"/>
      <c r="BD555" s="109"/>
      <c r="BE555" s="109"/>
      <c r="BF555" s="109"/>
      <c r="BG555" s="109"/>
      <c r="BH555" s="109"/>
      <c r="BI555" s="109"/>
      <c r="BJ555" s="109"/>
      <c r="BK555" s="109"/>
      <c r="BL555" s="109"/>
      <c r="BM555" s="109"/>
      <c r="BN555" s="109"/>
      <c r="BO555" s="109"/>
      <c r="BP555" s="109"/>
      <c r="BQ555" s="109"/>
      <c r="BR555" s="109"/>
      <c r="BS555" s="109"/>
      <c r="BT555" s="109"/>
      <c r="BU555" s="109"/>
    </row>
    <row r="556" ht="15.75" customHeight="1">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10"/>
      <c r="X556" s="109"/>
      <c r="Y556" s="109"/>
      <c r="Z556" s="109"/>
      <c r="AA556" s="109"/>
      <c r="AB556" s="109"/>
      <c r="AC556" s="109"/>
      <c r="AD556" s="109"/>
      <c r="AE556" s="109"/>
      <c r="AF556" s="109"/>
      <c r="AG556" s="109"/>
      <c r="AH556" s="109"/>
      <c r="AI556" s="109"/>
      <c r="AJ556" s="109"/>
      <c r="AK556" s="109"/>
      <c r="AL556" s="109"/>
      <c r="AM556" s="109"/>
      <c r="AN556" s="109"/>
      <c r="AO556" s="109"/>
      <c r="AP556" s="109"/>
      <c r="AQ556" s="109"/>
      <c r="AR556" s="109"/>
      <c r="AS556" s="109"/>
      <c r="AT556" s="109"/>
      <c r="AU556" s="109"/>
      <c r="AV556" s="109"/>
      <c r="AW556" s="109"/>
      <c r="AX556" s="109"/>
      <c r="AY556" s="109"/>
      <c r="AZ556" s="109"/>
      <c r="BA556" s="109"/>
      <c r="BB556" s="109"/>
      <c r="BC556" s="109"/>
      <c r="BD556" s="109"/>
      <c r="BE556" s="109"/>
      <c r="BF556" s="109"/>
      <c r="BG556" s="109"/>
      <c r="BH556" s="109"/>
      <c r="BI556" s="109"/>
      <c r="BJ556" s="109"/>
      <c r="BK556" s="109"/>
      <c r="BL556" s="109"/>
      <c r="BM556" s="109"/>
      <c r="BN556" s="109"/>
      <c r="BO556" s="109"/>
      <c r="BP556" s="109"/>
      <c r="BQ556" s="109"/>
      <c r="BR556" s="109"/>
      <c r="BS556" s="109"/>
      <c r="BT556" s="109"/>
      <c r="BU556" s="109"/>
    </row>
    <row r="557" ht="15.75" customHeight="1">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10"/>
      <c r="X557" s="109"/>
      <c r="Y557" s="109"/>
      <c r="Z557" s="109"/>
      <c r="AA557" s="109"/>
      <c r="AB557" s="109"/>
      <c r="AC557" s="109"/>
      <c r="AD557" s="109"/>
      <c r="AE557" s="109"/>
      <c r="AF557" s="109"/>
      <c r="AG557" s="109"/>
      <c r="AH557" s="109"/>
      <c r="AI557" s="109"/>
      <c r="AJ557" s="109"/>
      <c r="AK557" s="109"/>
      <c r="AL557" s="109"/>
      <c r="AM557" s="109"/>
      <c r="AN557" s="109"/>
      <c r="AO557" s="109"/>
      <c r="AP557" s="109"/>
      <c r="AQ557" s="109"/>
      <c r="AR557" s="109"/>
      <c r="AS557" s="109"/>
      <c r="AT557" s="109"/>
      <c r="AU557" s="109"/>
      <c r="AV557" s="109"/>
      <c r="AW557" s="109"/>
      <c r="AX557" s="109"/>
      <c r="AY557" s="109"/>
      <c r="AZ557" s="109"/>
      <c r="BA557" s="109"/>
      <c r="BB557" s="109"/>
      <c r="BC557" s="109"/>
      <c r="BD557" s="109"/>
      <c r="BE557" s="109"/>
      <c r="BF557" s="109"/>
      <c r="BG557" s="109"/>
      <c r="BH557" s="109"/>
      <c r="BI557" s="109"/>
      <c r="BJ557" s="109"/>
      <c r="BK557" s="109"/>
      <c r="BL557" s="109"/>
      <c r="BM557" s="109"/>
      <c r="BN557" s="109"/>
      <c r="BO557" s="109"/>
      <c r="BP557" s="109"/>
      <c r="BQ557" s="109"/>
      <c r="BR557" s="109"/>
      <c r="BS557" s="109"/>
      <c r="BT557" s="109"/>
      <c r="BU557" s="109"/>
    </row>
    <row r="558" ht="15.75" customHeight="1">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10"/>
      <c r="X558" s="109"/>
      <c r="Y558" s="109"/>
      <c r="Z558" s="109"/>
      <c r="AA558" s="109"/>
      <c r="AB558" s="109"/>
      <c r="AC558" s="109"/>
      <c r="AD558" s="109"/>
      <c r="AE558" s="109"/>
      <c r="AF558" s="109"/>
      <c r="AG558" s="109"/>
      <c r="AH558" s="109"/>
      <c r="AI558" s="109"/>
      <c r="AJ558" s="109"/>
      <c r="AK558" s="109"/>
      <c r="AL558" s="109"/>
      <c r="AM558" s="109"/>
      <c r="AN558" s="109"/>
      <c r="AO558" s="109"/>
      <c r="AP558" s="109"/>
      <c r="AQ558" s="109"/>
      <c r="AR558" s="109"/>
      <c r="AS558" s="109"/>
      <c r="AT558" s="109"/>
      <c r="AU558" s="109"/>
      <c r="AV558" s="109"/>
      <c r="AW558" s="109"/>
      <c r="AX558" s="109"/>
      <c r="AY558" s="109"/>
      <c r="AZ558" s="109"/>
      <c r="BA558" s="109"/>
      <c r="BB558" s="109"/>
      <c r="BC558" s="109"/>
      <c r="BD558" s="109"/>
      <c r="BE558" s="109"/>
      <c r="BF558" s="109"/>
      <c r="BG558" s="109"/>
      <c r="BH558" s="109"/>
      <c r="BI558" s="109"/>
      <c r="BJ558" s="109"/>
      <c r="BK558" s="109"/>
      <c r="BL558" s="109"/>
      <c r="BM558" s="109"/>
      <c r="BN558" s="109"/>
      <c r="BO558" s="109"/>
      <c r="BP558" s="109"/>
      <c r="BQ558" s="109"/>
      <c r="BR558" s="109"/>
      <c r="BS558" s="109"/>
      <c r="BT558" s="109"/>
      <c r="BU558" s="109"/>
    </row>
    <row r="559" ht="15.75" customHeight="1">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10"/>
      <c r="X559" s="109"/>
      <c r="Y559" s="109"/>
      <c r="Z559" s="109"/>
      <c r="AA559" s="109"/>
      <c r="AB559" s="109"/>
      <c r="AC559" s="109"/>
      <c r="AD559" s="109"/>
      <c r="AE559" s="109"/>
      <c r="AF559" s="109"/>
      <c r="AG559" s="109"/>
      <c r="AH559" s="109"/>
      <c r="AI559" s="109"/>
      <c r="AJ559" s="109"/>
      <c r="AK559" s="109"/>
      <c r="AL559" s="109"/>
      <c r="AM559" s="109"/>
      <c r="AN559" s="109"/>
      <c r="AO559" s="109"/>
      <c r="AP559" s="109"/>
      <c r="AQ559" s="109"/>
      <c r="AR559" s="109"/>
      <c r="AS559" s="109"/>
      <c r="AT559" s="109"/>
      <c r="AU559" s="109"/>
      <c r="AV559" s="109"/>
      <c r="AW559" s="109"/>
      <c r="AX559" s="109"/>
      <c r="AY559" s="109"/>
      <c r="AZ559" s="109"/>
      <c r="BA559" s="109"/>
      <c r="BB559" s="109"/>
      <c r="BC559" s="109"/>
      <c r="BD559" s="109"/>
      <c r="BE559" s="109"/>
      <c r="BF559" s="109"/>
      <c r="BG559" s="109"/>
      <c r="BH559" s="109"/>
      <c r="BI559" s="109"/>
      <c r="BJ559" s="109"/>
      <c r="BK559" s="109"/>
      <c r="BL559" s="109"/>
      <c r="BM559" s="109"/>
      <c r="BN559" s="109"/>
      <c r="BO559" s="109"/>
      <c r="BP559" s="109"/>
      <c r="BQ559" s="109"/>
      <c r="BR559" s="109"/>
      <c r="BS559" s="109"/>
      <c r="BT559" s="109"/>
      <c r="BU559" s="109"/>
    </row>
    <row r="560" ht="15.75" customHeight="1">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10"/>
      <c r="X560" s="109"/>
      <c r="Y560" s="109"/>
      <c r="Z560" s="109"/>
      <c r="AA560" s="109"/>
      <c r="AB560" s="109"/>
      <c r="AC560" s="109"/>
      <c r="AD560" s="109"/>
      <c r="AE560" s="109"/>
      <c r="AF560" s="109"/>
      <c r="AG560" s="109"/>
      <c r="AH560" s="109"/>
      <c r="AI560" s="109"/>
      <c r="AJ560" s="109"/>
      <c r="AK560" s="109"/>
      <c r="AL560" s="109"/>
      <c r="AM560" s="109"/>
      <c r="AN560" s="109"/>
      <c r="AO560" s="109"/>
      <c r="AP560" s="109"/>
      <c r="AQ560" s="109"/>
      <c r="AR560" s="109"/>
      <c r="AS560" s="109"/>
      <c r="AT560" s="109"/>
      <c r="AU560" s="109"/>
      <c r="AV560" s="109"/>
      <c r="AW560" s="109"/>
      <c r="AX560" s="109"/>
      <c r="AY560" s="109"/>
      <c r="AZ560" s="109"/>
      <c r="BA560" s="109"/>
      <c r="BB560" s="109"/>
      <c r="BC560" s="109"/>
      <c r="BD560" s="109"/>
      <c r="BE560" s="109"/>
      <c r="BF560" s="109"/>
      <c r="BG560" s="109"/>
      <c r="BH560" s="109"/>
      <c r="BI560" s="109"/>
      <c r="BJ560" s="109"/>
      <c r="BK560" s="109"/>
      <c r="BL560" s="109"/>
      <c r="BM560" s="109"/>
      <c r="BN560" s="109"/>
      <c r="BO560" s="109"/>
      <c r="BP560" s="109"/>
      <c r="BQ560" s="109"/>
      <c r="BR560" s="109"/>
      <c r="BS560" s="109"/>
      <c r="BT560" s="109"/>
      <c r="BU560" s="109"/>
    </row>
    <row r="561" ht="15.75" customHeight="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10"/>
      <c r="X561" s="109"/>
      <c r="Y561" s="109"/>
      <c r="Z561" s="109"/>
      <c r="AA561" s="109"/>
      <c r="AB561" s="109"/>
      <c r="AC561" s="109"/>
      <c r="AD561" s="109"/>
      <c r="AE561" s="109"/>
      <c r="AF561" s="109"/>
      <c r="AG561" s="109"/>
      <c r="AH561" s="109"/>
      <c r="AI561" s="109"/>
      <c r="AJ561" s="109"/>
      <c r="AK561" s="109"/>
      <c r="AL561" s="109"/>
      <c r="AM561" s="109"/>
      <c r="AN561" s="109"/>
      <c r="AO561" s="109"/>
      <c r="AP561" s="109"/>
      <c r="AQ561" s="109"/>
      <c r="AR561" s="109"/>
      <c r="AS561" s="109"/>
      <c r="AT561" s="109"/>
      <c r="AU561" s="109"/>
      <c r="AV561" s="109"/>
      <c r="AW561" s="109"/>
      <c r="AX561" s="109"/>
      <c r="AY561" s="109"/>
      <c r="AZ561" s="109"/>
      <c r="BA561" s="109"/>
      <c r="BB561" s="109"/>
      <c r="BC561" s="109"/>
      <c r="BD561" s="109"/>
      <c r="BE561" s="109"/>
      <c r="BF561" s="109"/>
      <c r="BG561" s="109"/>
      <c r="BH561" s="109"/>
      <c r="BI561" s="109"/>
      <c r="BJ561" s="109"/>
      <c r="BK561" s="109"/>
      <c r="BL561" s="109"/>
      <c r="BM561" s="109"/>
      <c r="BN561" s="109"/>
      <c r="BO561" s="109"/>
      <c r="BP561" s="109"/>
      <c r="BQ561" s="109"/>
      <c r="BR561" s="109"/>
      <c r="BS561" s="109"/>
      <c r="BT561" s="109"/>
      <c r="BU561" s="109"/>
    </row>
    <row r="562" ht="15.75" customHeight="1">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10"/>
      <c r="X562" s="109"/>
      <c r="Y562" s="109"/>
      <c r="Z562" s="109"/>
      <c r="AA562" s="109"/>
      <c r="AB562" s="109"/>
      <c r="AC562" s="109"/>
      <c r="AD562" s="109"/>
      <c r="AE562" s="109"/>
      <c r="AF562" s="109"/>
      <c r="AG562" s="109"/>
      <c r="AH562" s="109"/>
      <c r="AI562" s="109"/>
      <c r="AJ562" s="109"/>
      <c r="AK562" s="109"/>
      <c r="AL562" s="109"/>
      <c r="AM562" s="109"/>
      <c r="AN562" s="109"/>
      <c r="AO562" s="109"/>
      <c r="AP562" s="109"/>
      <c r="AQ562" s="109"/>
      <c r="AR562" s="109"/>
      <c r="AS562" s="109"/>
      <c r="AT562" s="109"/>
      <c r="AU562" s="109"/>
      <c r="AV562" s="109"/>
      <c r="AW562" s="109"/>
      <c r="AX562" s="109"/>
      <c r="AY562" s="109"/>
      <c r="AZ562" s="109"/>
      <c r="BA562" s="109"/>
      <c r="BB562" s="109"/>
      <c r="BC562" s="109"/>
      <c r="BD562" s="109"/>
      <c r="BE562" s="109"/>
      <c r="BF562" s="109"/>
      <c r="BG562" s="109"/>
      <c r="BH562" s="109"/>
      <c r="BI562" s="109"/>
      <c r="BJ562" s="109"/>
      <c r="BK562" s="109"/>
      <c r="BL562" s="109"/>
      <c r="BM562" s="109"/>
      <c r="BN562" s="109"/>
      <c r="BO562" s="109"/>
      <c r="BP562" s="109"/>
      <c r="BQ562" s="109"/>
      <c r="BR562" s="109"/>
      <c r="BS562" s="109"/>
      <c r="BT562" s="109"/>
      <c r="BU562" s="109"/>
    </row>
    <row r="563" ht="15.75" customHeight="1">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10"/>
      <c r="X563" s="109"/>
      <c r="Y563" s="109"/>
      <c r="Z563" s="109"/>
      <c r="AA563" s="109"/>
      <c r="AB563" s="109"/>
      <c r="AC563" s="109"/>
      <c r="AD563" s="109"/>
      <c r="AE563" s="109"/>
      <c r="AF563" s="109"/>
      <c r="AG563" s="109"/>
      <c r="AH563" s="109"/>
      <c r="AI563" s="109"/>
      <c r="AJ563" s="109"/>
      <c r="AK563" s="109"/>
      <c r="AL563" s="109"/>
      <c r="AM563" s="109"/>
      <c r="AN563" s="109"/>
      <c r="AO563" s="109"/>
      <c r="AP563" s="109"/>
      <c r="AQ563" s="109"/>
      <c r="AR563" s="109"/>
      <c r="AS563" s="109"/>
      <c r="AT563" s="109"/>
      <c r="AU563" s="109"/>
      <c r="AV563" s="109"/>
      <c r="AW563" s="109"/>
      <c r="AX563" s="109"/>
      <c r="AY563" s="109"/>
      <c r="AZ563" s="109"/>
      <c r="BA563" s="109"/>
      <c r="BB563" s="109"/>
      <c r="BC563" s="109"/>
      <c r="BD563" s="109"/>
      <c r="BE563" s="109"/>
      <c r="BF563" s="109"/>
      <c r="BG563" s="109"/>
      <c r="BH563" s="109"/>
      <c r="BI563" s="109"/>
      <c r="BJ563" s="109"/>
      <c r="BK563" s="109"/>
      <c r="BL563" s="109"/>
      <c r="BM563" s="109"/>
      <c r="BN563" s="109"/>
      <c r="BO563" s="109"/>
      <c r="BP563" s="109"/>
      <c r="BQ563" s="109"/>
      <c r="BR563" s="109"/>
      <c r="BS563" s="109"/>
      <c r="BT563" s="109"/>
      <c r="BU563" s="109"/>
    </row>
    <row r="564" ht="15.75" customHeight="1">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10"/>
      <c r="X564" s="109"/>
      <c r="Y564" s="109"/>
      <c r="Z564" s="109"/>
      <c r="AA564" s="109"/>
      <c r="AB564" s="109"/>
      <c r="AC564" s="109"/>
      <c r="AD564" s="109"/>
      <c r="AE564" s="109"/>
      <c r="AF564" s="109"/>
      <c r="AG564" s="109"/>
      <c r="AH564" s="109"/>
      <c r="AI564" s="109"/>
      <c r="AJ564" s="109"/>
      <c r="AK564" s="109"/>
      <c r="AL564" s="109"/>
      <c r="AM564" s="109"/>
      <c r="AN564" s="109"/>
      <c r="AO564" s="109"/>
      <c r="AP564" s="109"/>
      <c r="AQ564" s="109"/>
      <c r="AR564" s="109"/>
      <c r="AS564" s="109"/>
      <c r="AT564" s="109"/>
      <c r="AU564" s="109"/>
      <c r="AV564" s="109"/>
      <c r="AW564" s="109"/>
      <c r="AX564" s="109"/>
      <c r="AY564" s="109"/>
      <c r="AZ564" s="109"/>
      <c r="BA564" s="109"/>
      <c r="BB564" s="109"/>
      <c r="BC564" s="109"/>
      <c r="BD564" s="109"/>
      <c r="BE564" s="109"/>
      <c r="BF564" s="109"/>
      <c r="BG564" s="109"/>
      <c r="BH564" s="109"/>
      <c r="BI564" s="109"/>
      <c r="BJ564" s="109"/>
      <c r="BK564" s="109"/>
      <c r="BL564" s="109"/>
      <c r="BM564" s="109"/>
      <c r="BN564" s="109"/>
      <c r="BO564" s="109"/>
      <c r="BP564" s="109"/>
      <c r="BQ564" s="109"/>
      <c r="BR564" s="109"/>
      <c r="BS564" s="109"/>
      <c r="BT564" s="109"/>
      <c r="BU564" s="109"/>
    </row>
    <row r="565" ht="15.75" customHeight="1">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10"/>
      <c r="X565" s="109"/>
      <c r="Y565" s="109"/>
      <c r="Z565" s="109"/>
      <c r="AA565" s="109"/>
      <c r="AB565" s="109"/>
      <c r="AC565" s="109"/>
      <c r="AD565" s="109"/>
      <c r="AE565" s="109"/>
      <c r="AF565" s="109"/>
      <c r="AG565" s="109"/>
      <c r="AH565" s="109"/>
      <c r="AI565" s="109"/>
      <c r="AJ565" s="109"/>
      <c r="AK565" s="109"/>
      <c r="AL565" s="109"/>
      <c r="AM565" s="109"/>
      <c r="AN565" s="109"/>
      <c r="AO565" s="109"/>
      <c r="AP565" s="109"/>
      <c r="AQ565" s="109"/>
      <c r="AR565" s="109"/>
      <c r="AS565" s="109"/>
      <c r="AT565" s="109"/>
      <c r="AU565" s="109"/>
      <c r="AV565" s="109"/>
      <c r="AW565" s="109"/>
      <c r="AX565" s="109"/>
      <c r="AY565" s="109"/>
      <c r="AZ565" s="109"/>
      <c r="BA565" s="109"/>
      <c r="BB565" s="109"/>
      <c r="BC565" s="109"/>
      <c r="BD565" s="109"/>
      <c r="BE565" s="109"/>
      <c r="BF565" s="109"/>
      <c r="BG565" s="109"/>
      <c r="BH565" s="109"/>
      <c r="BI565" s="109"/>
      <c r="BJ565" s="109"/>
      <c r="BK565" s="109"/>
      <c r="BL565" s="109"/>
      <c r="BM565" s="109"/>
      <c r="BN565" s="109"/>
      <c r="BO565" s="109"/>
      <c r="BP565" s="109"/>
      <c r="BQ565" s="109"/>
      <c r="BR565" s="109"/>
      <c r="BS565" s="109"/>
      <c r="BT565" s="109"/>
      <c r="BU565" s="109"/>
    </row>
    <row r="566" ht="15.75" customHeight="1">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10"/>
      <c r="X566" s="109"/>
      <c r="Y566" s="109"/>
      <c r="Z566" s="109"/>
      <c r="AA566" s="109"/>
      <c r="AB566" s="109"/>
      <c r="AC566" s="109"/>
      <c r="AD566" s="109"/>
      <c r="AE566" s="109"/>
      <c r="AF566" s="109"/>
      <c r="AG566" s="109"/>
      <c r="AH566" s="109"/>
      <c r="AI566" s="109"/>
      <c r="AJ566" s="109"/>
      <c r="AK566" s="109"/>
      <c r="AL566" s="109"/>
      <c r="AM566" s="109"/>
      <c r="AN566" s="109"/>
      <c r="AO566" s="109"/>
      <c r="AP566" s="109"/>
      <c r="AQ566" s="109"/>
      <c r="AR566" s="109"/>
      <c r="AS566" s="109"/>
      <c r="AT566" s="109"/>
      <c r="AU566" s="109"/>
      <c r="AV566" s="109"/>
      <c r="AW566" s="109"/>
      <c r="AX566" s="109"/>
      <c r="AY566" s="109"/>
      <c r="AZ566" s="109"/>
      <c r="BA566" s="109"/>
      <c r="BB566" s="109"/>
      <c r="BC566" s="109"/>
      <c r="BD566" s="109"/>
      <c r="BE566" s="109"/>
      <c r="BF566" s="109"/>
      <c r="BG566" s="109"/>
      <c r="BH566" s="109"/>
      <c r="BI566" s="109"/>
      <c r="BJ566" s="109"/>
      <c r="BK566" s="109"/>
      <c r="BL566" s="109"/>
      <c r="BM566" s="109"/>
      <c r="BN566" s="109"/>
      <c r="BO566" s="109"/>
      <c r="BP566" s="109"/>
      <c r="BQ566" s="109"/>
      <c r="BR566" s="109"/>
      <c r="BS566" s="109"/>
      <c r="BT566" s="109"/>
      <c r="BU566" s="109"/>
    </row>
    <row r="567" ht="15.75" customHeight="1">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10"/>
      <c r="X567" s="109"/>
      <c r="Y567" s="109"/>
      <c r="Z567" s="109"/>
      <c r="AA567" s="109"/>
      <c r="AB567" s="109"/>
      <c r="AC567" s="109"/>
      <c r="AD567" s="109"/>
      <c r="AE567" s="109"/>
      <c r="AF567" s="109"/>
      <c r="AG567" s="109"/>
      <c r="AH567" s="109"/>
      <c r="AI567" s="109"/>
      <c r="AJ567" s="109"/>
      <c r="AK567" s="109"/>
      <c r="AL567" s="109"/>
      <c r="AM567" s="109"/>
      <c r="AN567" s="109"/>
      <c r="AO567" s="109"/>
      <c r="AP567" s="109"/>
      <c r="AQ567" s="109"/>
      <c r="AR567" s="109"/>
      <c r="AS567" s="109"/>
      <c r="AT567" s="109"/>
      <c r="AU567" s="109"/>
      <c r="AV567" s="109"/>
      <c r="AW567" s="109"/>
      <c r="AX567" s="109"/>
      <c r="AY567" s="109"/>
      <c r="AZ567" s="109"/>
      <c r="BA567" s="109"/>
      <c r="BB567" s="109"/>
      <c r="BC567" s="109"/>
      <c r="BD567" s="109"/>
      <c r="BE567" s="109"/>
      <c r="BF567" s="109"/>
      <c r="BG567" s="109"/>
      <c r="BH567" s="109"/>
      <c r="BI567" s="109"/>
      <c r="BJ567" s="109"/>
      <c r="BK567" s="109"/>
      <c r="BL567" s="109"/>
      <c r="BM567" s="109"/>
      <c r="BN567" s="109"/>
      <c r="BO567" s="109"/>
      <c r="BP567" s="109"/>
      <c r="BQ567" s="109"/>
      <c r="BR567" s="109"/>
      <c r="BS567" s="109"/>
      <c r="BT567" s="109"/>
      <c r="BU567" s="109"/>
    </row>
    <row r="568" ht="15.75" customHeight="1">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10"/>
      <c r="X568" s="109"/>
      <c r="Y568" s="109"/>
      <c r="Z568" s="109"/>
      <c r="AA568" s="109"/>
      <c r="AB568" s="109"/>
      <c r="AC568" s="109"/>
      <c r="AD568" s="109"/>
      <c r="AE568" s="109"/>
      <c r="AF568" s="109"/>
      <c r="AG568" s="109"/>
      <c r="AH568" s="109"/>
      <c r="AI568" s="109"/>
      <c r="AJ568" s="109"/>
      <c r="AK568" s="109"/>
      <c r="AL568" s="109"/>
      <c r="AM568" s="109"/>
      <c r="AN568" s="109"/>
      <c r="AO568" s="109"/>
      <c r="AP568" s="109"/>
      <c r="AQ568" s="109"/>
      <c r="AR568" s="109"/>
      <c r="AS568" s="109"/>
      <c r="AT568" s="109"/>
      <c r="AU568" s="109"/>
      <c r="AV568" s="109"/>
      <c r="AW568" s="109"/>
      <c r="AX568" s="109"/>
      <c r="AY568" s="109"/>
      <c r="AZ568" s="109"/>
      <c r="BA568" s="109"/>
      <c r="BB568" s="109"/>
      <c r="BC568" s="109"/>
      <c r="BD568" s="109"/>
      <c r="BE568" s="109"/>
      <c r="BF568" s="109"/>
      <c r="BG568" s="109"/>
      <c r="BH568" s="109"/>
      <c r="BI568" s="109"/>
      <c r="BJ568" s="109"/>
      <c r="BK568" s="109"/>
      <c r="BL568" s="109"/>
      <c r="BM568" s="109"/>
      <c r="BN568" s="109"/>
      <c r="BO568" s="109"/>
      <c r="BP568" s="109"/>
      <c r="BQ568" s="109"/>
      <c r="BR568" s="109"/>
      <c r="BS568" s="109"/>
      <c r="BT568" s="109"/>
      <c r="BU568" s="109"/>
    </row>
    <row r="569" ht="15.75" customHeight="1">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10"/>
      <c r="X569" s="109"/>
      <c r="Y569" s="109"/>
      <c r="Z569" s="109"/>
      <c r="AA569" s="109"/>
      <c r="AB569" s="109"/>
      <c r="AC569" s="109"/>
      <c r="AD569" s="109"/>
      <c r="AE569" s="109"/>
      <c r="AF569" s="109"/>
      <c r="AG569" s="109"/>
      <c r="AH569" s="109"/>
      <c r="AI569" s="109"/>
      <c r="AJ569" s="109"/>
      <c r="AK569" s="109"/>
      <c r="AL569" s="109"/>
      <c r="AM569" s="109"/>
      <c r="AN569" s="109"/>
      <c r="AO569" s="109"/>
      <c r="AP569" s="109"/>
      <c r="AQ569" s="109"/>
      <c r="AR569" s="109"/>
      <c r="AS569" s="109"/>
      <c r="AT569" s="109"/>
      <c r="AU569" s="109"/>
      <c r="AV569" s="109"/>
      <c r="AW569" s="109"/>
      <c r="AX569" s="109"/>
      <c r="AY569" s="109"/>
      <c r="AZ569" s="109"/>
      <c r="BA569" s="109"/>
      <c r="BB569" s="109"/>
      <c r="BC569" s="109"/>
      <c r="BD569" s="109"/>
      <c r="BE569" s="109"/>
      <c r="BF569" s="109"/>
      <c r="BG569" s="109"/>
      <c r="BH569" s="109"/>
      <c r="BI569" s="109"/>
      <c r="BJ569" s="109"/>
      <c r="BK569" s="109"/>
      <c r="BL569" s="109"/>
      <c r="BM569" s="109"/>
      <c r="BN569" s="109"/>
      <c r="BO569" s="109"/>
      <c r="BP569" s="109"/>
      <c r="BQ569" s="109"/>
      <c r="BR569" s="109"/>
      <c r="BS569" s="109"/>
      <c r="BT569" s="109"/>
      <c r="BU569" s="109"/>
    </row>
    <row r="570" ht="15.75" customHeight="1">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10"/>
      <c r="X570" s="109"/>
      <c r="Y570" s="109"/>
      <c r="Z570" s="109"/>
      <c r="AA570" s="109"/>
      <c r="AB570" s="109"/>
      <c r="AC570" s="109"/>
      <c r="AD570" s="109"/>
      <c r="AE570" s="109"/>
      <c r="AF570" s="109"/>
      <c r="AG570" s="109"/>
      <c r="AH570" s="109"/>
      <c r="AI570" s="109"/>
      <c r="AJ570" s="109"/>
      <c r="AK570" s="109"/>
      <c r="AL570" s="109"/>
      <c r="AM570" s="109"/>
      <c r="AN570" s="109"/>
      <c r="AO570" s="109"/>
      <c r="AP570" s="109"/>
      <c r="AQ570" s="109"/>
      <c r="AR570" s="109"/>
      <c r="AS570" s="109"/>
      <c r="AT570" s="109"/>
      <c r="AU570" s="109"/>
      <c r="AV570" s="109"/>
      <c r="AW570" s="109"/>
      <c r="AX570" s="109"/>
      <c r="AY570" s="109"/>
      <c r="AZ570" s="109"/>
      <c r="BA570" s="109"/>
      <c r="BB570" s="109"/>
      <c r="BC570" s="109"/>
      <c r="BD570" s="109"/>
      <c r="BE570" s="109"/>
      <c r="BF570" s="109"/>
      <c r="BG570" s="109"/>
      <c r="BH570" s="109"/>
      <c r="BI570" s="109"/>
      <c r="BJ570" s="109"/>
      <c r="BK570" s="109"/>
      <c r="BL570" s="109"/>
      <c r="BM570" s="109"/>
      <c r="BN570" s="109"/>
      <c r="BO570" s="109"/>
      <c r="BP570" s="109"/>
      <c r="BQ570" s="109"/>
      <c r="BR570" s="109"/>
      <c r="BS570" s="109"/>
      <c r="BT570" s="109"/>
      <c r="BU570" s="109"/>
    </row>
    <row r="571" ht="15.75" customHeight="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10"/>
      <c r="X571" s="109"/>
      <c r="Y571" s="109"/>
      <c r="Z571" s="109"/>
      <c r="AA571" s="109"/>
      <c r="AB571" s="109"/>
      <c r="AC571" s="109"/>
      <c r="AD571" s="109"/>
      <c r="AE571" s="109"/>
      <c r="AF571" s="109"/>
      <c r="AG571" s="109"/>
      <c r="AH571" s="109"/>
      <c r="AI571" s="109"/>
      <c r="AJ571" s="109"/>
      <c r="AK571" s="109"/>
      <c r="AL571" s="109"/>
      <c r="AM571" s="109"/>
      <c r="AN571" s="109"/>
      <c r="AO571" s="109"/>
      <c r="AP571" s="109"/>
      <c r="AQ571" s="109"/>
      <c r="AR571" s="109"/>
      <c r="AS571" s="109"/>
      <c r="AT571" s="109"/>
      <c r="AU571" s="109"/>
      <c r="AV571" s="109"/>
      <c r="AW571" s="109"/>
      <c r="AX571" s="109"/>
      <c r="AY571" s="109"/>
      <c r="AZ571" s="109"/>
      <c r="BA571" s="109"/>
      <c r="BB571" s="109"/>
      <c r="BC571" s="109"/>
      <c r="BD571" s="109"/>
      <c r="BE571" s="109"/>
      <c r="BF571" s="109"/>
      <c r="BG571" s="109"/>
      <c r="BH571" s="109"/>
      <c r="BI571" s="109"/>
      <c r="BJ571" s="109"/>
      <c r="BK571" s="109"/>
      <c r="BL571" s="109"/>
      <c r="BM571" s="109"/>
      <c r="BN571" s="109"/>
      <c r="BO571" s="109"/>
      <c r="BP571" s="109"/>
      <c r="BQ571" s="109"/>
      <c r="BR571" s="109"/>
      <c r="BS571" s="109"/>
      <c r="BT571" s="109"/>
      <c r="BU571" s="109"/>
    </row>
    <row r="572" ht="15.75" customHeight="1">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10"/>
      <c r="X572" s="109"/>
      <c r="Y572" s="109"/>
      <c r="Z572" s="109"/>
      <c r="AA572" s="109"/>
      <c r="AB572" s="109"/>
      <c r="AC572" s="109"/>
      <c r="AD572" s="109"/>
      <c r="AE572" s="109"/>
      <c r="AF572" s="109"/>
      <c r="AG572" s="109"/>
      <c r="AH572" s="109"/>
      <c r="AI572" s="109"/>
      <c r="AJ572" s="109"/>
      <c r="AK572" s="109"/>
      <c r="AL572" s="109"/>
      <c r="AM572" s="109"/>
      <c r="AN572" s="109"/>
      <c r="AO572" s="109"/>
      <c r="AP572" s="109"/>
      <c r="AQ572" s="109"/>
      <c r="AR572" s="109"/>
      <c r="AS572" s="109"/>
      <c r="AT572" s="109"/>
      <c r="AU572" s="109"/>
      <c r="AV572" s="109"/>
      <c r="AW572" s="109"/>
      <c r="AX572" s="109"/>
      <c r="AY572" s="109"/>
      <c r="AZ572" s="109"/>
      <c r="BA572" s="109"/>
      <c r="BB572" s="109"/>
      <c r="BC572" s="109"/>
      <c r="BD572" s="109"/>
      <c r="BE572" s="109"/>
      <c r="BF572" s="109"/>
      <c r="BG572" s="109"/>
      <c r="BH572" s="109"/>
      <c r="BI572" s="109"/>
      <c r="BJ572" s="109"/>
      <c r="BK572" s="109"/>
      <c r="BL572" s="109"/>
      <c r="BM572" s="109"/>
      <c r="BN572" s="109"/>
      <c r="BO572" s="109"/>
      <c r="BP572" s="109"/>
      <c r="BQ572" s="109"/>
      <c r="BR572" s="109"/>
      <c r="BS572" s="109"/>
      <c r="BT572" s="109"/>
      <c r="BU572" s="109"/>
    </row>
    <row r="573" ht="15.75" customHeight="1">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10"/>
      <c r="X573" s="109"/>
      <c r="Y573" s="109"/>
      <c r="Z573" s="109"/>
      <c r="AA573" s="109"/>
      <c r="AB573" s="109"/>
      <c r="AC573" s="109"/>
      <c r="AD573" s="109"/>
      <c r="AE573" s="109"/>
      <c r="AF573" s="109"/>
      <c r="AG573" s="109"/>
      <c r="AH573" s="109"/>
      <c r="AI573" s="109"/>
      <c r="AJ573" s="109"/>
      <c r="AK573" s="109"/>
      <c r="AL573" s="109"/>
      <c r="AM573" s="109"/>
      <c r="AN573" s="109"/>
      <c r="AO573" s="109"/>
      <c r="AP573" s="109"/>
      <c r="AQ573" s="109"/>
      <c r="AR573" s="109"/>
      <c r="AS573" s="109"/>
      <c r="AT573" s="109"/>
      <c r="AU573" s="109"/>
      <c r="AV573" s="109"/>
      <c r="AW573" s="109"/>
      <c r="AX573" s="109"/>
      <c r="AY573" s="109"/>
      <c r="AZ573" s="109"/>
      <c r="BA573" s="109"/>
      <c r="BB573" s="109"/>
      <c r="BC573" s="109"/>
      <c r="BD573" s="109"/>
      <c r="BE573" s="109"/>
      <c r="BF573" s="109"/>
      <c r="BG573" s="109"/>
      <c r="BH573" s="109"/>
      <c r="BI573" s="109"/>
      <c r="BJ573" s="109"/>
      <c r="BK573" s="109"/>
      <c r="BL573" s="109"/>
      <c r="BM573" s="109"/>
      <c r="BN573" s="109"/>
      <c r="BO573" s="109"/>
      <c r="BP573" s="109"/>
      <c r="BQ573" s="109"/>
      <c r="BR573" s="109"/>
      <c r="BS573" s="109"/>
      <c r="BT573" s="109"/>
      <c r="BU573" s="109"/>
    </row>
    <row r="574" ht="15.75" customHeight="1">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10"/>
      <c r="X574" s="109"/>
      <c r="Y574" s="109"/>
      <c r="Z574" s="109"/>
      <c r="AA574" s="109"/>
      <c r="AB574" s="109"/>
      <c r="AC574" s="109"/>
      <c r="AD574" s="109"/>
      <c r="AE574" s="109"/>
      <c r="AF574" s="109"/>
      <c r="AG574" s="109"/>
      <c r="AH574" s="109"/>
      <c r="AI574" s="109"/>
      <c r="AJ574" s="109"/>
      <c r="AK574" s="109"/>
      <c r="AL574" s="109"/>
      <c r="AM574" s="109"/>
      <c r="AN574" s="109"/>
      <c r="AO574" s="109"/>
      <c r="AP574" s="109"/>
      <c r="AQ574" s="109"/>
      <c r="AR574" s="109"/>
      <c r="AS574" s="109"/>
      <c r="AT574" s="109"/>
      <c r="AU574" s="109"/>
      <c r="AV574" s="109"/>
      <c r="AW574" s="109"/>
      <c r="AX574" s="109"/>
      <c r="AY574" s="109"/>
      <c r="AZ574" s="109"/>
      <c r="BA574" s="109"/>
      <c r="BB574" s="109"/>
      <c r="BC574" s="109"/>
      <c r="BD574" s="109"/>
      <c r="BE574" s="109"/>
      <c r="BF574" s="109"/>
      <c r="BG574" s="109"/>
      <c r="BH574" s="109"/>
      <c r="BI574" s="109"/>
      <c r="BJ574" s="109"/>
      <c r="BK574" s="109"/>
      <c r="BL574" s="109"/>
      <c r="BM574" s="109"/>
      <c r="BN574" s="109"/>
      <c r="BO574" s="109"/>
      <c r="BP574" s="109"/>
      <c r="BQ574" s="109"/>
      <c r="BR574" s="109"/>
      <c r="BS574" s="109"/>
      <c r="BT574" s="109"/>
      <c r="BU574" s="109"/>
    </row>
    <row r="575" ht="15.75" customHeight="1">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10"/>
      <c r="X575" s="109"/>
      <c r="Y575" s="109"/>
      <c r="Z575" s="109"/>
      <c r="AA575" s="109"/>
      <c r="AB575" s="109"/>
      <c r="AC575" s="109"/>
      <c r="AD575" s="109"/>
      <c r="AE575" s="109"/>
      <c r="AF575" s="109"/>
      <c r="AG575" s="109"/>
      <c r="AH575" s="109"/>
      <c r="AI575" s="109"/>
      <c r="AJ575" s="109"/>
      <c r="AK575" s="109"/>
      <c r="AL575" s="109"/>
      <c r="AM575" s="109"/>
      <c r="AN575" s="109"/>
      <c r="AO575" s="109"/>
      <c r="AP575" s="109"/>
      <c r="AQ575" s="109"/>
      <c r="AR575" s="109"/>
      <c r="AS575" s="109"/>
      <c r="AT575" s="109"/>
      <c r="AU575" s="109"/>
      <c r="AV575" s="109"/>
      <c r="AW575" s="109"/>
      <c r="AX575" s="109"/>
      <c r="AY575" s="109"/>
      <c r="AZ575" s="109"/>
      <c r="BA575" s="109"/>
      <c r="BB575" s="109"/>
      <c r="BC575" s="109"/>
      <c r="BD575" s="109"/>
      <c r="BE575" s="109"/>
      <c r="BF575" s="109"/>
      <c r="BG575" s="109"/>
      <c r="BH575" s="109"/>
      <c r="BI575" s="109"/>
      <c r="BJ575" s="109"/>
      <c r="BK575" s="109"/>
      <c r="BL575" s="109"/>
      <c r="BM575" s="109"/>
      <c r="BN575" s="109"/>
      <c r="BO575" s="109"/>
      <c r="BP575" s="109"/>
      <c r="BQ575" s="109"/>
      <c r="BR575" s="109"/>
      <c r="BS575" s="109"/>
      <c r="BT575" s="109"/>
      <c r="BU575" s="109"/>
    </row>
    <row r="576" ht="15.75" customHeight="1">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10"/>
      <c r="X576" s="109"/>
      <c r="Y576" s="109"/>
      <c r="Z576" s="109"/>
      <c r="AA576" s="109"/>
      <c r="AB576" s="109"/>
      <c r="AC576" s="109"/>
      <c r="AD576" s="109"/>
      <c r="AE576" s="109"/>
      <c r="AF576" s="109"/>
      <c r="AG576" s="109"/>
      <c r="AH576" s="109"/>
      <c r="AI576" s="109"/>
      <c r="AJ576" s="109"/>
      <c r="AK576" s="109"/>
      <c r="AL576" s="109"/>
      <c r="AM576" s="109"/>
      <c r="AN576" s="109"/>
      <c r="AO576" s="109"/>
      <c r="AP576" s="109"/>
      <c r="AQ576" s="109"/>
      <c r="AR576" s="109"/>
      <c r="AS576" s="109"/>
      <c r="AT576" s="109"/>
      <c r="AU576" s="109"/>
      <c r="AV576" s="109"/>
      <c r="AW576" s="109"/>
      <c r="AX576" s="109"/>
      <c r="AY576" s="109"/>
      <c r="AZ576" s="109"/>
      <c r="BA576" s="109"/>
      <c r="BB576" s="109"/>
      <c r="BC576" s="109"/>
      <c r="BD576" s="109"/>
      <c r="BE576" s="109"/>
      <c r="BF576" s="109"/>
      <c r="BG576" s="109"/>
      <c r="BH576" s="109"/>
      <c r="BI576" s="109"/>
      <c r="BJ576" s="109"/>
      <c r="BK576" s="109"/>
      <c r="BL576" s="109"/>
      <c r="BM576" s="109"/>
      <c r="BN576" s="109"/>
      <c r="BO576" s="109"/>
      <c r="BP576" s="109"/>
      <c r="BQ576" s="109"/>
      <c r="BR576" s="109"/>
      <c r="BS576" s="109"/>
      <c r="BT576" s="109"/>
      <c r="BU576" s="109"/>
    </row>
    <row r="577" ht="15.75" customHeight="1">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10"/>
      <c r="X577" s="109"/>
      <c r="Y577" s="109"/>
      <c r="Z577" s="109"/>
      <c r="AA577" s="109"/>
      <c r="AB577" s="109"/>
      <c r="AC577" s="109"/>
      <c r="AD577" s="109"/>
      <c r="AE577" s="109"/>
      <c r="AF577" s="109"/>
      <c r="AG577" s="109"/>
      <c r="AH577" s="109"/>
      <c r="AI577" s="109"/>
      <c r="AJ577" s="109"/>
      <c r="AK577" s="109"/>
      <c r="AL577" s="109"/>
      <c r="AM577" s="109"/>
      <c r="AN577" s="109"/>
      <c r="AO577" s="109"/>
      <c r="AP577" s="109"/>
      <c r="AQ577" s="109"/>
      <c r="AR577" s="109"/>
      <c r="AS577" s="109"/>
      <c r="AT577" s="109"/>
      <c r="AU577" s="109"/>
      <c r="AV577" s="109"/>
      <c r="AW577" s="109"/>
      <c r="AX577" s="109"/>
      <c r="AY577" s="109"/>
      <c r="AZ577" s="109"/>
      <c r="BA577" s="109"/>
      <c r="BB577" s="109"/>
      <c r="BC577" s="109"/>
      <c r="BD577" s="109"/>
      <c r="BE577" s="109"/>
      <c r="BF577" s="109"/>
      <c r="BG577" s="109"/>
      <c r="BH577" s="109"/>
      <c r="BI577" s="109"/>
      <c r="BJ577" s="109"/>
      <c r="BK577" s="109"/>
      <c r="BL577" s="109"/>
      <c r="BM577" s="109"/>
      <c r="BN577" s="109"/>
      <c r="BO577" s="109"/>
      <c r="BP577" s="109"/>
      <c r="BQ577" s="109"/>
      <c r="BR577" s="109"/>
      <c r="BS577" s="109"/>
      <c r="BT577" s="109"/>
      <c r="BU577" s="109"/>
    </row>
    <row r="578" ht="15.75" customHeight="1">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10"/>
      <c r="X578" s="109"/>
      <c r="Y578" s="109"/>
      <c r="Z578" s="109"/>
      <c r="AA578" s="109"/>
      <c r="AB578" s="109"/>
      <c r="AC578" s="109"/>
      <c r="AD578" s="109"/>
      <c r="AE578" s="109"/>
      <c r="AF578" s="109"/>
      <c r="AG578" s="109"/>
      <c r="AH578" s="109"/>
      <c r="AI578" s="109"/>
      <c r="AJ578" s="109"/>
      <c r="AK578" s="109"/>
      <c r="AL578" s="109"/>
      <c r="AM578" s="109"/>
      <c r="AN578" s="109"/>
      <c r="AO578" s="109"/>
      <c r="AP578" s="109"/>
      <c r="AQ578" s="109"/>
      <c r="AR578" s="109"/>
      <c r="AS578" s="109"/>
      <c r="AT578" s="109"/>
      <c r="AU578" s="109"/>
      <c r="AV578" s="109"/>
      <c r="AW578" s="109"/>
      <c r="AX578" s="109"/>
      <c r="AY578" s="109"/>
      <c r="AZ578" s="109"/>
      <c r="BA578" s="109"/>
      <c r="BB578" s="109"/>
      <c r="BC578" s="109"/>
      <c r="BD578" s="109"/>
      <c r="BE578" s="109"/>
      <c r="BF578" s="109"/>
      <c r="BG578" s="109"/>
      <c r="BH578" s="109"/>
      <c r="BI578" s="109"/>
      <c r="BJ578" s="109"/>
      <c r="BK578" s="109"/>
      <c r="BL578" s="109"/>
      <c r="BM578" s="109"/>
      <c r="BN578" s="109"/>
      <c r="BO578" s="109"/>
      <c r="BP578" s="109"/>
      <c r="BQ578" s="109"/>
      <c r="BR578" s="109"/>
      <c r="BS578" s="109"/>
      <c r="BT578" s="109"/>
      <c r="BU578" s="109"/>
    </row>
    <row r="579" ht="15.75" customHeight="1">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10"/>
      <c r="X579" s="109"/>
      <c r="Y579" s="109"/>
      <c r="Z579" s="109"/>
      <c r="AA579" s="109"/>
      <c r="AB579" s="109"/>
      <c r="AC579" s="109"/>
      <c r="AD579" s="109"/>
      <c r="AE579" s="109"/>
      <c r="AF579" s="109"/>
      <c r="AG579" s="109"/>
      <c r="AH579" s="109"/>
      <c r="AI579" s="109"/>
      <c r="AJ579" s="109"/>
      <c r="AK579" s="109"/>
      <c r="AL579" s="109"/>
      <c r="AM579" s="109"/>
      <c r="AN579" s="109"/>
      <c r="AO579" s="109"/>
      <c r="AP579" s="109"/>
      <c r="AQ579" s="109"/>
      <c r="AR579" s="109"/>
      <c r="AS579" s="109"/>
      <c r="AT579" s="109"/>
      <c r="AU579" s="109"/>
      <c r="AV579" s="109"/>
      <c r="AW579" s="109"/>
      <c r="AX579" s="109"/>
      <c r="AY579" s="109"/>
      <c r="AZ579" s="109"/>
      <c r="BA579" s="109"/>
      <c r="BB579" s="109"/>
      <c r="BC579" s="109"/>
      <c r="BD579" s="109"/>
      <c r="BE579" s="109"/>
      <c r="BF579" s="109"/>
      <c r="BG579" s="109"/>
      <c r="BH579" s="109"/>
      <c r="BI579" s="109"/>
      <c r="BJ579" s="109"/>
      <c r="BK579" s="109"/>
      <c r="BL579" s="109"/>
      <c r="BM579" s="109"/>
      <c r="BN579" s="109"/>
      <c r="BO579" s="109"/>
      <c r="BP579" s="109"/>
      <c r="BQ579" s="109"/>
      <c r="BR579" s="109"/>
      <c r="BS579" s="109"/>
      <c r="BT579" s="109"/>
      <c r="BU579" s="109"/>
    </row>
    <row r="580" ht="15.75" customHeight="1">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10"/>
      <c r="X580" s="109"/>
      <c r="Y580" s="109"/>
      <c r="Z580" s="109"/>
      <c r="AA580" s="109"/>
      <c r="AB580" s="109"/>
      <c r="AC580" s="109"/>
      <c r="AD580" s="109"/>
      <c r="AE580" s="109"/>
      <c r="AF580" s="109"/>
      <c r="AG580" s="109"/>
      <c r="AH580" s="109"/>
      <c r="AI580" s="109"/>
      <c r="AJ580" s="109"/>
      <c r="AK580" s="109"/>
      <c r="AL580" s="109"/>
      <c r="AM580" s="109"/>
      <c r="AN580" s="109"/>
      <c r="AO580" s="109"/>
      <c r="AP580" s="109"/>
      <c r="AQ580" s="109"/>
      <c r="AR580" s="109"/>
      <c r="AS580" s="109"/>
      <c r="AT580" s="109"/>
      <c r="AU580" s="109"/>
      <c r="AV580" s="109"/>
      <c r="AW580" s="109"/>
      <c r="AX580" s="109"/>
      <c r="AY580" s="109"/>
      <c r="AZ580" s="109"/>
      <c r="BA580" s="109"/>
      <c r="BB580" s="109"/>
      <c r="BC580" s="109"/>
      <c r="BD580" s="109"/>
      <c r="BE580" s="109"/>
      <c r="BF580" s="109"/>
      <c r="BG580" s="109"/>
      <c r="BH580" s="109"/>
      <c r="BI580" s="109"/>
      <c r="BJ580" s="109"/>
      <c r="BK580" s="109"/>
      <c r="BL580" s="109"/>
      <c r="BM580" s="109"/>
      <c r="BN580" s="109"/>
      <c r="BO580" s="109"/>
      <c r="BP580" s="109"/>
      <c r="BQ580" s="109"/>
      <c r="BR580" s="109"/>
      <c r="BS580" s="109"/>
      <c r="BT580" s="109"/>
      <c r="BU580" s="109"/>
    </row>
    <row r="581" ht="15.75" customHeight="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10"/>
      <c r="X581" s="109"/>
      <c r="Y581" s="109"/>
      <c r="Z581" s="109"/>
      <c r="AA581" s="109"/>
      <c r="AB581" s="109"/>
      <c r="AC581" s="109"/>
      <c r="AD581" s="109"/>
      <c r="AE581" s="109"/>
      <c r="AF581" s="109"/>
      <c r="AG581" s="109"/>
      <c r="AH581" s="109"/>
      <c r="AI581" s="109"/>
      <c r="AJ581" s="109"/>
      <c r="AK581" s="109"/>
      <c r="AL581" s="109"/>
      <c r="AM581" s="109"/>
      <c r="AN581" s="109"/>
      <c r="AO581" s="109"/>
      <c r="AP581" s="109"/>
      <c r="AQ581" s="109"/>
      <c r="AR581" s="109"/>
      <c r="AS581" s="109"/>
      <c r="AT581" s="109"/>
      <c r="AU581" s="109"/>
      <c r="AV581" s="109"/>
      <c r="AW581" s="109"/>
      <c r="AX581" s="109"/>
      <c r="AY581" s="109"/>
      <c r="AZ581" s="109"/>
      <c r="BA581" s="109"/>
      <c r="BB581" s="109"/>
      <c r="BC581" s="109"/>
      <c r="BD581" s="109"/>
      <c r="BE581" s="109"/>
      <c r="BF581" s="109"/>
      <c r="BG581" s="109"/>
      <c r="BH581" s="109"/>
      <c r="BI581" s="109"/>
      <c r="BJ581" s="109"/>
      <c r="BK581" s="109"/>
      <c r="BL581" s="109"/>
      <c r="BM581" s="109"/>
      <c r="BN581" s="109"/>
      <c r="BO581" s="109"/>
      <c r="BP581" s="109"/>
      <c r="BQ581" s="109"/>
      <c r="BR581" s="109"/>
      <c r="BS581" s="109"/>
      <c r="BT581" s="109"/>
      <c r="BU581" s="109"/>
    </row>
    <row r="582" ht="15.75" customHeight="1">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10"/>
      <c r="X582" s="109"/>
      <c r="Y582" s="109"/>
      <c r="Z582" s="109"/>
      <c r="AA582" s="109"/>
      <c r="AB582" s="109"/>
      <c r="AC582" s="109"/>
      <c r="AD582" s="109"/>
      <c r="AE582" s="109"/>
      <c r="AF582" s="109"/>
      <c r="AG582" s="109"/>
      <c r="AH582" s="109"/>
      <c r="AI582" s="109"/>
      <c r="AJ582" s="109"/>
      <c r="AK582" s="109"/>
      <c r="AL582" s="109"/>
      <c r="AM582" s="109"/>
      <c r="AN582" s="109"/>
      <c r="AO582" s="109"/>
      <c r="AP582" s="109"/>
      <c r="AQ582" s="109"/>
      <c r="AR582" s="109"/>
      <c r="AS582" s="109"/>
      <c r="AT582" s="109"/>
      <c r="AU582" s="109"/>
      <c r="AV582" s="109"/>
      <c r="AW582" s="109"/>
      <c r="AX582" s="109"/>
      <c r="AY582" s="109"/>
      <c r="AZ582" s="109"/>
      <c r="BA582" s="109"/>
      <c r="BB582" s="109"/>
      <c r="BC582" s="109"/>
      <c r="BD582" s="109"/>
      <c r="BE582" s="109"/>
      <c r="BF582" s="109"/>
      <c r="BG582" s="109"/>
      <c r="BH582" s="109"/>
      <c r="BI582" s="109"/>
      <c r="BJ582" s="109"/>
      <c r="BK582" s="109"/>
      <c r="BL582" s="109"/>
      <c r="BM582" s="109"/>
      <c r="BN582" s="109"/>
      <c r="BO582" s="109"/>
      <c r="BP582" s="109"/>
      <c r="BQ582" s="109"/>
      <c r="BR582" s="109"/>
      <c r="BS582" s="109"/>
      <c r="BT582" s="109"/>
      <c r="BU582" s="109"/>
    </row>
    <row r="583" ht="15.75" customHeight="1">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10"/>
      <c r="X583" s="109"/>
      <c r="Y583" s="109"/>
      <c r="Z583" s="109"/>
      <c r="AA583" s="109"/>
      <c r="AB583" s="109"/>
      <c r="AC583" s="109"/>
      <c r="AD583" s="109"/>
      <c r="AE583" s="109"/>
      <c r="AF583" s="109"/>
      <c r="AG583" s="109"/>
      <c r="AH583" s="109"/>
      <c r="AI583" s="109"/>
      <c r="AJ583" s="109"/>
      <c r="AK583" s="109"/>
      <c r="AL583" s="109"/>
      <c r="AM583" s="109"/>
      <c r="AN583" s="109"/>
      <c r="AO583" s="109"/>
      <c r="AP583" s="109"/>
      <c r="AQ583" s="109"/>
      <c r="AR583" s="109"/>
      <c r="AS583" s="109"/>
      <c r="AT583" s="109"/>
      <c r="AU583" s="109"/>
      <c r="AV583" s="109"/>
      <c r="AW583" s="109"/>
      <c r="AX583" s="109"/>
      <c r="AY583" s="109"/>
      <c r="AZ583" s="109"/>
      <c r="BA583" s="109"/>
      <c r="BB583" s="109"/>
      <c r="BC583" s="109"/>
      <c r="BD583" s="109"/>
      <c r="BE583" s="109"/>
      <c r="BF583" s="109"/>
      <c r="BG583" s="109"/>
      <c r="BH583" s="109"/>
      <c r="BI583" s="109"/>
      <c r="BJ583" s="109"/>
      <c r="BK583" s="109"/>
      <c r="BL583" s="109"/>
      <c r="BM583" s="109"/>
      <c r="BN583" s="109"/>
      <c r="BO583" s="109"/>
      <c r="BP583" s="109"/>
      <c r="BQ583" s="109"/>
      <c r="BR583" s="109"/>
      <c r="BS583" s="109"/>
      <c r="BT583" s="109"/>
      <c r="BU583" s="109"/>
    </row>
    <row r="584" ht="15.75" customHeight="1">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10"/>
      <c r="X584" s="109"/>
      <c r="Y584" s="109"/>
      <c r="Z584" s="109"/>
      <c r="AA584" s="109"/>
      <c r="AB584" s="109"/>
      <c r="AC584" s="109"/>
      <c r="AD584" s="109"/>
      <c r="AE584" s="109"/>
      <c r="AF584" s="109"/>
      <c r="AG584" s="109"/>
      <c r="AH584" s="109"/>
      <c r="AI584" s="109"/>
      <c r="AJ584" s="109"/>
      <c r="AK584" s="109"/>
      <c r="AL584" s="109"/>
      <c r="AM584" s="109"/>
      <c r="AN584" s="109"/>
      <c r="AO584" s="109"/>
      <c r="AP584" s="109"/>
      <c r="AQ584" s="109"/>
      <c r="AR584" s="109"/>
      <c r="AS584" s="109"/>
      <c r="AT584" s="109"/>
      <c r="AU584" s="109"/>
      <c r="AV584" s="109"/>
      <c r="AW584" s="109"/>
      <c r="AX584" s="109"/>
      <c r="AY584" s="109"/>
      <c r="AZ584" s="109"/>
      <c r="BA584" s="109"/>
      <c r="BB584" s="109"/>
      <c r="BC584" s="109"/>
      <c r="BD584" s="109"/>
      <c r="BE584" s="109"/>
      <c r="BF584" s="109"/>
      <c r="BG584" s="109"/>
      <c r="BH584" s="109"/>
      <c r="BI584" s="109"/>
      <c r="BJ584" s="109"/>
      <c r="BK584" s="109"/>
      <c r="BL584" s="109"/>
      <c r="BM584" s="109"/>
      <c r="BN584" s="109"/>
      <c r="BO584" s="109"/>
      <c r="BP584" s="109"/>
      <c r="BQ584" s="109"/>
      <c r="BR584" s="109"/>
      <c r="BS584" s="109"/>
      <c r="BT584" s="109"/>
      <c r="BU584" s="109"/>
    </row>
    <row r="585" ht="15.75" customHeight="1">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10"/>
      <c r="X585" s="109"/>
      <c r="Y585" s="109"/>
      <c r="Z585" s="109"/>
      <c r="AA585" s="109"/>
      <c r="AB585" s="109"/>
      <c r="AC585" s="109"/>
      <c r="AD585" s="109"/>
      <c r="AE585" s="109"/>
      <c r="AF585" s="109"/>
      <c r="AG585" s="109"/>
      <c r="AH585" s="109"/>
      <c r="AI585" s="109"/>
      <c r="AJ585" s="109"/>
      <c r="AK585" s="109"/>
      <c r="AL585" s="109"/>
      <c r="AM585" s="109"/>
      <c r="AN585" s="109"/>
      <c r="AO585" s="109"/>
      <c r="AP585" s="109"/>
      <c r="AQ585" s="109"/>
      <c r="AR585" s="109"/>
      <c r="AS585" s="109"/>
      <c r="AT585" s="109"/>
      <c r="AU585" s="109"/>
      <c r="AV585" s="109"/>
      <c r="AW585" s="109"/>
      <c r="AX585" s="109"/>
      <c r="AY585" s="109"/>
      <c r="AZ585" s="109"/>
      <c r="BA585" s="109"/>
      <c r="BB585" s="109"/>
      <c r="BC585" s="109"/>
      <c r="BD585" s="109"/>
      <c r="BE585" s="109"/>
      <c r="BF585" s="109"/>
      <c r="BG585" s="109"/>
      <c r="BH585" s="109"/>
      <c r="BI585" s="109"/>
      <c r="BJ585" s="109"/>
      <c r="BK585" s="109"/>
      <c r="BL585" s="109"/>
      <c r="BM585" s="109"/>
      <c r="BN585" s="109"/>
      <c r="BO585" s="109"/>
      <c r="BP585" s="109"/>
      <c r="BQ585" s="109"/>
      <c r="BR585" s="109"/>
      <c r="BS585" s="109"/>
      <c r="BT585" s="109"/>
      <c r="BU585" s="109"/>
    </row>
    <row r="586" ht="15.75" customHeight="1">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10"/>
      <c r="X586" s="109"/>
      <c r="Y586" s="109"/>
      <c r="Z586" s="109"/>
      <c r="AA586" s="109"/>
      <c r="AB586" s="109"/>
      <c r="AC586" s="109"/>
      <c r="AD586" s="109"/>
      <c r="AE586" s="109"/>
      <c r="AF586" s="109"/>
      <c r="AG586" s="109"/>
      <c r="AH586" s="109"/>
      <c r="AI586" s="109"/>
      <c r="AJ586" s="109"/>
      <c r="AK586" s="109"/>
      <c r="AL586" s="109"/>
      <c r="AM586" s="109"/>
      <c r="AN586" s="109"/>
      <c r="AO586" s="109"/>
      <c r="AP586" s="109"/>
      <c r="AQ586" s="109"/>
      <c r="AR586" s="109"/>
      <c r="AS586" s="109"/>
      <c r="AT586" s="109"/>
      <c r="AU586" s="109"/>
      <c r="AV586" s="109"/>
      <c r="AW586" s="109"/>
      <c r="AX586" s="109"/>
      <c r="AY586" s="109"/>
      <c r="AZ586" s="109"/>
      <c r="BA586" s="109"/>
      <c r="BB586" s="109"/>
      <c r="BC586" s="109"/>
      <c r="BD586" s="109"/>
      <c r="BE586" s="109"/>
      <c r="BF586" s="109"/>
      <c r="BG586" s="109"/>
      <c r="BH586" s="109"/>
      <c r="BI586" s="109"/>
      <c r="BJ586" s="109"/>
      <c r="BK586" s="109"/>
      <c r="BL586" s="109"/>
      <c r="BM586" s="109"/>
      <c r="BN586" s="109"/>
      <c r="BO586" s="109"/>
      <c r="BP586" s="109"/>
      <c r="BQ586" s="109"/>
      <c r="BR586" s="109"/>
      <c r="BS586" s="109"/>
      <c r="BT586" s="109"/>
      <c r="BU586" s="109"/>
    </row>
    <row r="587" ht="15.75" customHeight="1">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10"/>
      <c r="X587" s="109"/>
      <c r="Y587" s="109"/>
      <c r="Z587" s="109"/>
      <c r="AA587" s="109"/>
      <c r="AB587" s="109"/>
      <c r="AC587" s="109"/>
      <c r="AD587" s="109"/>
      <c r="AE587" s="109"/>
      <c r="AF587" s="109"/>
      <c r="AG587" s="109"/>
      <c r="AH587" s="109"/>
      <c r="AI587" s="109"/>
      <c r="AJ587" s="109"/>
      <c r="AK587" s="109"/>
      <c r="AL587" s="109"/>
      <c r="AM587" s="109"/>
      <c r="AN587" s="109"/>
      <c r="AO587" s="109"/>
      <c r="AP587" s="109"/>
      <c r="AQ587" s="109"/>
      <c r="AR587" s="109"/>
      <c r="AS587" s="109"/>
      <c r="AT587" s="109"/>
      <c r="AU587" s="109"/>
      <c r="AV587" s="109"/>
      <c r="AW587" s="109"/>
      <c r="AX587" s="109"/>
      <c r="AY587" s="109"/>
      <c r="AZ587" s="109"/>
      <c r="BA587" s="109"/>
      <c r="BB587" s="109"/>
      <c r="BC587" s="109"/>
      <c r="BD587" s="109"/>
      <c r="BE587" s="109"/>
      <c r="BF587" s="109"/>
      <c r="BG587" s="109"/>
      <c r="BH587" s="109"/>
      <c r="BI587" s="109"/>
      <c r="BJ587" s="109"/>
      <c r="BK587" s="109"/>
      <c r="BL587" s="109"/>
      <c r="BM587" s="109"/>
      <c r="BN587" s="109"/>
      <c r="BO587" s="109"/>
      <c r="BP587" s="109"/>
      <c r="BQ587" s="109"/>
      <c r="BR587" s="109"/>
      <c r="BS587" s="109"/>
      <c r="BT587" s="109"/>
      <c r="BU587" s="109"/>
    </row>
    <row r="588" ht="15.75" customHeight="1">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10"/>
      <c r="X588" s="109"/>
      <c r="Y588" s="109"/>
      <c r="Z588" s="109"/>
      <c r="AA588" s="109"/>
      <c r="AB588" s="109"/>
      <c r="AC588" s="109"/>
      <c r="AD588" s="109"/>
      <c r="AE588" s="109"/>
      <c r="AF588" s="109"/>
      <c r="AG588" s="109"/>
      <c r="AH588" s="109"/>
      <c r="AI588" s="109"/>
      <c r="AJ588" s="109"/>
      <c r="AK588" s="109"/>
      <c r="AL588" s="109"/>
      <c r="AM588" s="109"/>
      <c r="AN588" s="109"/>
      <c r="AO588" s="109"/>
      <c r="AP588" s="109"/>
      <c r="AQ588" s="109"/>
      <c r="AR588" s="109"/>
      <c r="AS588" s="109"/>
      <c r="AT588" s="109"/>
      <c r="AU588" s="109"/>
      <c r="AV588" s="109"/>
      <c r="AW588" s="109"/>
      <c r="AX588" s="109"/>
      <c r="AY588" s="109"/>
      <c r="AZ588" s="109"/>
      <c r="BA588" s="109"/>
      <c r="BB588" s="109"/>
      <c r="BC588" s="109"/>
      <c r="BD588" s="109"/>
      <c r="BE588" s="109"/>
      <c r="BF588" s="109"/>
      <c r="BG588" s="109"/>
      <c r="BH588" s="109"/>
      <c r="BI588" s="109"/>
      <c r="BJ588" s="109"/>
      <c r="BK588" s="109"/>
      <c r="BL588" s="109"/>
      <c r="BM588" s="109"/>
      <c r="BN588" s="109"/>
      <c r="BO588" s="109"/>
      <c r="BP588" s="109"/>
      <c r="BQ588" s="109"/>
      <c r="BR588" s="109"/>
      <c r="BS588" s="109"/>
      <c r="BT588" s="109"/>
      <c r="BU588" s="109"/>
    </row>
    <row r="589" ht="15.75" customHeight="1">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10"/>
      <c r="X589" s="109"/>
      <c r="Y589" s="109"/>
      <c r="Z589" s="109"/>
      <c r="AA589" s="109"/>
      <c r="AB589" s="109"/>
      <c r="AC589" s="109"/>
      <c r="AD589" s="109"/>
      <c r="AE589" s="109"/>
      <c r="AF589" s="109"/>
      <c r="AG589" s="109"/>
      <c r="AH589" s="109"/>
      <c r="AI589" s="109"/>
      <c r="AJ589" s="109"/>
      <c r="AK589" s="109"/>
      <c r="AL589" s="109"/>
      <c r="AM589" s="109"/>
      <c r="AN589" s="109"/>
      <c r="AO589" s="109"/>
      <c r="AP589" s="109"/>
      <c r="AQ589" s="109"/>
      <c r="AR589" s="109"/>
      <c r="AS589" s="109"/>
      <c r="AT589" s="109"/>
      <c r="AU589" s="109"/>
      <c r="AV589" s="109"/>
      <c r="AW589" s="109"/>
      <c r="AX589" s="109"/>
      <c r="AY589" s="109"/>
      <c r="AZ589" s="109"/>
      <c r="BA589" s="109"/>
      <c r="BB589" s="109"/>
      <c r="BC589" s="109"/>
      <c r="BD589" s="109"/>
      <c r="BE589" s="109"/>
      <c r="BF589" s="109"/>
      <c r="BG589" s="109"/>
      <c r="BH589" s="109"/>
      <c r="BI589" s="109"/>
      <c r="BJ589" s="109"/>
      <c r="BK589" s="109"/>
      <c r="BL589" s="109"/>
      <c r="BM589" s="109"/>
      <c r="BN589" s="109"/>
      <c r="BO589" s="109"/>
      <c r="BP589" s="109"/>
      <c r="BQ589" s="109"/>
      <c r="BR589" s="109"/>
      <c r="BS589" s="109"/>
      <c r="BT589" s="109"/>
      <c r="BU589" s="109"/>
    </row>
    <row r="590" ht="15.75" customHeight="1">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10"/>
      <c r="X590" s="109"/>
      <c r="Y590" s="109"/>
      <c r="Z590" s="109"/>
      <c r="AA590" s="109"/>
      <c r="AB590" s="109"/>
      <c r="AC590" s="109"/>
      <c r="AD590" s="109"/>
      <c r="AE590" s="109"/>
      <c r="AF590" s="109"/>
      <c r="AG590" s="109"/>
      <c r="AH590" s="109"/>
      <c r="AI590" s="109"/>
      <c r="AJ590" s="109"/>
      <c r="AK590" s="109"/>
      <c r="AL590" s="109"/>
      <c r="AM590" s="109"/>
      <c r="AN590" s="109"/>
      <c r="AO590" s="109"/>
      <c r="AP590" s="109"/>
      <c r="AQ590" s="109"/>
      <c r="AR590" s="109"/>
      <c r="AS590" s="109"/>
      <c r="AT590" s="109"/>
      <c r="AU590" s="109"/>
      <c r="AV590" s="109"/>
      <c r="AW590" s="109"/>
      <c r="AX590" s="109"/>
      <c r="AY590" s="109"/>
      <c r="AZ590" s="109"/>
      <c r="BA590" s="109"/>
      <c r="BB590" s="109"/>
      <c r="BC590" s="109"/>
      <c r="BD590" s="109"/>
      <c r="BE590" s="109"/>
      <c r="BF590" s="109"/>
      <c r="BG590" s="109"/>
      <c r="BH590" s="109"/>
      <c r="BI590" s="109"/>
      <c r="BJ590" s="109"/>
      <c r="BK590" s="109"/>
      <c r="BL590" s="109"/>
      <c r="BM590" s="109"/>
      <c r="BN590" s="109"/>
      <c r="BO590" s="109"/>
      <c r="BP590" s="109"/>
      <c r="BQ590" s="109"/>
      <c r="BR590" s="109"/>
      <c r="BS590" s="109"/>
      <c r="BT590" s="109"/>
      <c r="BU590" s="109"/>
    </row>
    <row r="591" ht="15.75" customHeight="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10"/>
      <c r="X591" s="109"/>
      <c r="Y591" s="109"/>
      <c r="Z591" s="109"/>
      <c r="AA591" s="109"/>
      <c r="AB591" s="109"/>
      <c r="AC591" s="109"/>
      <c r="AD591" s="109"/>
      <c r="AE591" s="109"/>
      <c r="AF591" s="109"/>
      <c r="AG591" s="109"/>
      <c r="AH591" s="109"/>
      <c r="AI591" s="109"/>
      <c r="AJ591" s="109"/>
      <c r="AK591" s="109"/>
      <c r="AL591" s="109"/>
      <c r="AM591" s="109"/>
      <c r="AN591" s="109"/>
      <c r="AO591" s="109"/>
      <c r="AP591" s="109"/>
      <c r="AQ591" s="109"/>
      <c r="AR591" s="109"/>
      <c r="AS591" s="109"/>
      <c r="AT591" s="109"/>
      <c r="AU591" s="109"/>
      <c r="AV591" s="109"/>
      <c r="AW591" s="109"/>
      <c r="AX591" s="109"/>
      <c r="AY591" s="109"/>
      <c r="AZ591" s="109"/>
      <c r="BA591" s="109"/>
      <c r="BB591" s="109"/>
      <c r="BC591" s="109"/>
      <c r="BD591" s="109"/>
      <c r="BE591" s="109"/>
      <c r="BF591" s="109"/>
      <c r="BG591" s="109"/>
      <c r="BH591" s="109"/>
      <c r="BI591" s="109"/>
      <c r="BJ591" s="109"/>
      <c r="BK591" s="109"/>
      <c r="BL591" s="109"/>
      <c r="BM591" s="109"/>
      <c r="BN591" s="109"/>
      <c r="BO591" s="109"/>
      <c r="BP591" s="109"/>
      <c r="BQ591" s="109"/>
      <c r="BR591" s="109"/>
      <c r="BS591" s="109"/>
      <c r="BT591" s="109"/>
      <c r="BU591" s="109"/>
    </row>
    <row r="592" ht="15.75" customHeight="1">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10"/>
      <c r="X592" s="109"/>
      <c r="Y592" s="109"/>
      <c r="Z592" s="109"/>
      <c r="AA592" s="109"/>
      <c r="AB592" s="109"/>
      <c r="AC592" s="109"/>
      <c r="AD592" s="109"/>
      <c r="AE592" s="109"/>
      <c r="AF592" s="109"/>
      <c r="AG592" s="109"/>
      <c r="AH592" s="109"/>
      <c r="AI592" s="109"/>
      <c r="AJ592" s="109"/>
      <c r="AK592" s="109"/>
      <c r="AL592" s="109"/>
      <c r="AM592" s="109"/>
      <c r="AN592" s="109"/>
      <c r="AO592" s="109"/>
      <c r="AP592" s="109"/>
      <c r="AQ592" s="109"/>
      <c r="AR592" s="109"/>
      <c r="AS592" s="109"/>
      <c r="AT592" s="109"/>
      <c r="AU592" s="109"/>
      <c r="AV592" s="109"/>
      <c r="AW592" s="109"/>
      <c r="AX592" s="109"/>
      <c r="AY592" s="109"/>
      <c r="AZ592" s="109"/>
      <c r="BA592" s="109"/>
      <c r="BB592" s="109"/>
      <c r="BC592" s="109"/>
      <c r="BD592" s="109"/>
      <c r="BE592" s="109"/>
      <c r="BF592" s="109"/>
      <c r="BG592" s="109"/>
      <c r="BH592" s="109"/>
      <c r="BI592" s="109"/>
      <c r="BJ592" s="109"/>
      <c r="BK592" s="109"/>
      <c r="BL592" s="109"/>
      <c r="BM592" s="109"/>
      <c r="BN592" s="109"/>
      <c r="BO592" s="109"/>
      <c r="BP592" s="109"/>
      <c r="BQ592" s="109"/>
      <c r="BR592" s="109"/>
      <c r="BS592" s="109"/>
      <c r="BT592" s="109"/>
      <c r="BU592" s="109"/>
    </row>
    <row r="593" ht="15.75" customHeight="1">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10"/>
      <c r="X593" s="109"/>
      <c r="Y593" s="109"/>
      <c r="Z593" s="109"/>
      <c r="AA593" s="109"/>
      <c r="AB593" s="109"/>
      <c r="AC593" s="109"/>
      <c r="AD593" s="109"/>
      <c r="AE593" s="109"/>
      <c r="AF593" s="109"/>
      <c r="AG593" s="109"/>
      <c r="AH593" s="109"/>
      <c r="AI593" s="109"/>
      <c r="AJ593" s="109"/>
      <c r="AK593" s="109"/>
      <c r="AL593" s="109"/>
      <c r="AM593" s="109"/>
      <c r="AN593" s="109"/>
      <c r="AO593" s="109"/>
      <c r="AP593" s="109"/>
      <c r="AQ593" s="109"/>
      <c r="AR593" s="109"/>
      <c r="AS593" s="109"/>
      <c r="AT593" s="109"/>
      <c r="AU593" s="109"/>
      <c r="AV593" s="109"/>
      <c r="AW593" s="109"/>
      <c r="AX593" s="109"/>
      <c r="AY593" s="109"/>
      <c r="AZ593" s="109"/>
      <c r="BA593" s="109"/>
      <c r="BB593" s="109"/>
      <c r="BC593" s="109"/>
      <c r="BD593" s="109"/>
      <c r="BE593" s="109"/>
      <c r="BF593" s="109"/>
      <c r="BG593" s="109"/>
      <c r="BH593" s="109"/>
      <c r="BI593" s="109"/>
      <c r="BJ593" s="109"/>
      <c r="BK593" s="109"/>
      <c r="BL593" s="109"/>
      <c r="BM593" s="109"/>
      <c r="BN593" s="109"/>
      <c r="BO593" s="109"/>
      <c r="BP593" s="109"/>
      <c r="BQ593" s="109"/>
      <c r="BR593" s="109"/>
      <c r="BS593" s="109"/>
      <c r="BT593" s="109"/>
      <c r="BU593" s="109"/>
    </row>
    <row r="594" ht="15.75" customHeight="1">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10"/>
      <c r="X594" s="109"/>
      <c r="Y594" s="109"/>
      <c r="Z594" s="109"/>
      <c r="AA594" s="109"/>
      <c r="AB594" s="109"/>
      <c r="AC594" s="109"/>
      <c r="AD594" s="109"/>
      <c r="AE594" s="109"/>
      <c r="AF594" s="109"/>
      <c r="AG594" s="109"/>
      <c r="AH594" s="109"/>
      <c r="AI594" s="109"/>
      <c r="AJ594" s="109"/>
      <c r="AK594" s="109"/>
      <c r="AL594" s="109"/>
      <c r="AM594" s="109"/>
      <c r="AN594" s="109"/>
      <c r="AO594" s="109"/>
      <c r="AP594" s="109"/>
      <c r="AQ594" s="109"/>
      <c r="AR594" s="109"/>
      <c r="AS594" s="109"/>
      <c r="AT594" s="109"/>
      <c r="AU594" s="109"/>
      <c r="AV594" s="109"/>
      <c r="AW594" s="109"/>
      <c r="AX594" s="109"/>
      <c r="AY594" s="109"/>
      <c r="AZ594" s="109"/>
      <c r="BA594" s="109"/>
      <c r="BB594" s="109"/>
      <c r="BC594" s="109"/>
      <c r="BD594" s="109"/>
      <c r="BE594" s="109"/>
      <c r="BF594" s="109"/>
      <c r="BG594" s="109"/>
      <c r="BH594" s="109"/>
      <c r="BI594" s="109"/>
      <c r="BJ594" s="109"/>
      <c r="BK594" s="109"/>
      <c r="BL594" s="109"/>
      <c r="BM594" s="109"/>
      <c r="BN594" s="109"/>
      <c r="BO594" s="109"/>
      <c r="BP594" s="109"/>
      <c r="BQ594" s="109"/>
      <c r="BR594" s="109"/>
      <c r="BS594" s="109"/>
      <c r="BT594" s="109"/>
      <c r="BU594" s="109"/>
    </row>
    <row r="595" ht="15.75" customHeight="1">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10"/>
      <c r="X595" s="109"/>
      <c r="Y595" s="109"/>
      <c r="Z595" s="109"/>
      <c r="AA595" s="109"/>
      <c r="AB595" s="109"/>
      <c r="AC595" s="109"/>
      <c r="AD595" s="109"/>
      <c r="AE595" s="109"/>
      <c r="AF595" s="109"/>
      <c r="AG595" s="109"/>
      <c r="AH595" s="109"/>
      <c r="AI595" s="109"/>
      <c r="AJ595" s="109"/>
      <c r="AK595" s="109"/>
      <c r="AL595" s="109"/>
      <c r="AM595" s="109"/>
      <c r="AN595" s="109"/>
      <c r="AO595" s="109"/>
      <c r="AP595" s="109"/>
      <c r="AQ595" s="109"/>
      <c r="AR595" s="109"/>
      <c r="AS595" s="109"/>
      <c r="AT595" s="109"/>
      <c r="AU595" s="109"/>
      <c r="AV595" s="109"/>
      <c r="AW595" s="109"/>
      <c r="AX595" s="109"/>
      <c r="AY595" s="109"/>
      <c r="AZ595" s="109"/>
      <c r="BA595" s="109"/>
      <c r="BB595" s="109"/>
      <c r="BC595" s="109"/>
      <c r="BD595" s="109"/>
      <c r="BE595" s="109"/>
      <c r="BF595" s="109"/>
      <c r="BG595" s="109"/>
      <c r="BH595" s="109"/>
      <c r="BI595" s="109"/>
      <c r="BJ595" s="109"/>
      <c r="BK595" s="109"/>
      <c r="BL595" s="109"/>
      <c r="BM595" s="109"/>
      <c r="BN595" s="109"/>
      <c r="BO595" s="109"/>
      <c r="BP595" s="109"/>
      <c r="BQ595" s="109"/>
      <c r="BR595" s="109"/>
      <c r="BS595" s="109"/>
      <c r="BT595" s="109"/>
      <c r="BU595" s="109"/>
    </row>
    <row r="596" ht="15.75" customHeight="1">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10"/>
      <c r="X596" s="109"/>
      <c r="Y596" s="109"/>
      <c r="Z596" s="109"/>
      <c r="AA596" s="109"/>
      <c r="AB596" s="109"/>
      <c r="AC596" s="109"/>
      <c r="AD596" s="109"/>
      <c r="AE596" s="109"/>
      <c r="AF596" s="109"/>
      <c r="AG596" s="109"/>
      <c r="AH596" s="109"/>
      <c r="AI596" s="109"/>
      <c r="AJ596" s="109"/>
      <c r="AK596" s="109"/>
      <c r="AL596" s="109"/>
      <c r="AM596" s="109"/>
      <c r="AN596" s="109"/>
      <c r="AO596" s="109"/>
      <c r="AP596" s="109"/>
      <c r="AQ596" s="109"/>
      <c r="AR596" s="109"/>
      <c r="AS596" s="109"/>
      <c r="AT596" s="109"/>
      <c r="AU596" s="109"/>
      <c r="AV596" s="109"/>
      <c r="AW596" s="109"/>
      <c r="AX596" s="109"/>
      <c r="AY596" s="109"/>
      <c r="AZ596" s="109"/>
      <c r="BA596" s="109"/>
      <c r="BB596" s="109"/>
      <c r="BC596" s="109"/>
      <c r="BD596" s="109"/>
      <c r="BE596" s="109"/>
      <c r="BF596" s="109"/>
      <c r="BG596" s="109"/>
      <c r="BH596" s="109"/>
      <c r="BI596" s="109"/>
      <c r="BJ596" s="109"/>
      <c r="BK596" s="109"/>
      <c r="BL596" s="109"/>
      <c r="BM596" s="109"/>
      <c r="BN596" s="109"/>
      <c r="BO596" s="109"/>
      <c r="BP596" s="109"/>
      <c r="BQ596" s="109"/>
      <c r="BR596" s="109"/>
      <c r="BS596" s="109"/>
      <c r="BT596" s="109"/>
      <c r="BU596" s="109"/>
    </row>
    <row r="597" ht="15.75" customHeight="1">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10"/>
      <c r="X597" s="109"/>
      <c r="Y597" s="109"/>
      <c r="Z597" s="109"/>
      <c r="AA597" s="109"/>
      <c r="AB597" s="109"/>
      <c r="AC597" s="109"/>
      <c r="AD597" s="109"/>
      <c r="AE597" s="109"/>
      <c r="AF597" s="109"/>
      <c r="AG597" s="109"/>
      <c r="AH597" s="109"/>
      <c r="AI597" s="109"/>
      <c r="AJ597" s="109"/>
      <c r="AK597" s="109"/>
      <c r="AL597" s="109"/>
      <c r="AM597" s="109"/>
      <c r="AN597" s="109"/>
      <c r="AO597" s="109"/>
      <c r="AP597" s="109"/>
      <c r="AQ597" s="109"/>
      <c r="AR597" s="109"/>
      <c r="AS597" s="109"/>
      <c r="AT597" s="109"/>
      <c r="AU597" s="109"/>
      <c r="AV597" s="109"/>
      <c r="AW597" s="109"/>
      <c r="AX597" s="109"/>
      <c r="AY597" s="109"/>
      <c r="AZ597" s="109"/>
      <c r="BA597" s="109"/>
      <c r="BB597" s="109"/>
      <c r="BC597" s="109"/>
      <c r="BD597" s="109"/>
      <c r="BE597" s="109"/>
      <c r="BF597" s="109"/>
      <c r="BG597" s="109"/>
      <c r="BH597" s="109"/>
      <c r="BI597" s="109"/>
      <c r="BJ597" s="109"/>
      <c r="BK597" s="109"/>
      <c r="BL597" s="109"/>
      <c r="BM597" s="109"/>
      <c r="BN597" s="109"/>
      <c r="BO597" s="109"/>
      <c r="BP597" s="109"/>
      <c r="BQ597" s="109"/>
      <c r="BR597" s="109"/>
      <c r="BS597" s="109"/>
      <c r="BT597" s="109"/>
      <c r="BU597" s="109"/>
    </row>
    <row r="598" ht="15.75" customHeight="1">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10"/>
      <c r="X598" s="109"/>
      <c r="Y598" s="109"/>
      <c r="Z598" s="109"/>
      <c r="AA598" s="109"/>
      <c r="AB598" s="109"/>
      <c r="AC598" s="109"/>
      <c r="AD598" s="109"/>
      <c r="AE598" s="109"/>
      <c r="AF598" s="109"/>
      <c r="AG598" s="109"/>
      <c r="AH598" s="109"/>
      <c r="AI598" s="109"/>
      <c r="AJ598" s="109"/>
      <c r="AK598" s="109"/>
      <c r="AL598" s="109"/>
      <c r="AM598" s="109"/>
      <c r="AN598" s="109"/>
      <c r="AO598" s="109"/>
      <c r="AP598" s="109"/>
      <c r="AQ598" s="109"/>
      <c r="AR598" s="109"/>
      <c r="AS598" s="109"/>
      <c r="AT598" s="109"/>
      <c r="AU598" s="109"/>
      <c r="AV598" s="109"/>
      <c r="AW598" s="109"/>
      <c r="AX598" s="109"/>
      <c r="AY598" s="109"/>
      <c r="AZ598" s="109"/>
      <c r="BA598" s="109"/>
      <c r="BB598" s="109"/>
      <c r="BC598" s="109"/>
      <c r="BD598" s="109"/>
      <c r="BE598" s="109"/>
      <c r="BF598" s="109"/>
      <c r="BG598" s="109"/>
      <c r="BH598" s="109"/>
      <c r="BI598" s="109"/>
      <c r="BJ598" s="109"/>
      <c r="BK598" s="109"/>
      <c r="BL598" s="109"/>
      <c r="BM598" s="109"/>
      <c r="BN598" s="109"/>
      <c r="BO598" s="109"/>
      <c r="BP598" s="109"/>
      <c r="BQ598" s="109"/>
      <c r="BR598" s="109"/>
      <c r="BS598" s="109"/>
      <c r="BT598" s="109"/>
      <c r="BU598" s="109"/>
    </row>
    <row r="599" ht="15.75" customHeight="1">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10"/>
      <c r="X599" s="109"/>
      <c r="Y599" s="109"/>
      <c r="Z599" s="109"/>
      <c r="AA599" s="109"/>
      <c r="AB599" s="109"/>
      <c r="AC599" s="109"/>
      <c r="AD599" s="109"/>
      <c r="AE599" s="109"/>
      <c r="AF599" s="109"/>
      <c r="AG599" s="109"/>
      <c r="AH599" s="109"/>
      <c r="AI599" s="109"/>
      <c r="AJ599" s="109"/>
      <c r="AK599" s="109"/>
      <c r="AL599" s="109"/>
      <c r="AM599" s="109"/>
      <c r="AN599" s="109"/>
      <c r="AO599" s="109"/>
      <c r="AP599" s="109"/>
      <c r="AQ599" s="109"/>
      <c r="AR599" s="109"/>
      <c r="AS599" s="109"/>
      <c r="AT599" s="109"/>
      <c r="AU599" s="109"/>
      <c r="AV599" s="109"/>
      <c r="AW599" s="109"/>
      <c r="AX599" s="109"/>
      <c r="AY599" s="109"/>
      <c r="AZ599" s="109"/>
      <c r="BA599" s="109"/>
      <c r="BB599" s="109"/>
      <c r="BC599" s="109"/>
      <c r="BD599" s="109"/>
      <c r="BE599" s="109"/>
      <c r="BF599" s="109"/>
      <c r="BG599" s="109"/>
      <c r="BH599" s="109"/>
      <c r="BI599" s="109"/>
      <c r="BJ599" s="109"/>
      <c r="BK599" s="109"/>
      <c r="BL599" s="109"/>
      <c r="BM599" s="109"/>
      <c r="BN599" s="109"/>
      <c r="BO599" s="109"/>
      <c r="BP599" s="109"/>
      <c r="BQ599" s="109"/>
      <c r="BR599" s="109"/>
      <c r="BS599" s="109"/>
      <c r="BT599" s="109"/>
      <c r="BU599" s="109"/>
    </row>
    <row r="600" ht="15.75" customHeight="1">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10"/>
      <c r="X600" s="109"/>
      <c r="Y600" s="109"/>
      <c r="Z600" s="109"/>
      <c r="AA600" s="109"/>
      <c r="AB600" s="109"/>
      <c r="AC600" s="109"/>
      <c r="AD600" s="109"/>
      <c r="AE600" s="109"/>
      <c r="AF600" s="109"/>
      <c r="AG600" s="109"/>
      <c r="AH600" s="109"/>
      <c r="AI600" s="109"/>
      <c r="AJ600" s="109"/>
      <c r="AK600" s="109"/>
      <c r="AL600" s="109"/>
      <c r="AM600" s="109"/>
      <c r="AN600" s="109"/>
      <c r="AO600" s="109"/>
      <c r="AP600" s="109"/>
      <c r="AQ600" s="109"/>
      <c r="AR600" s="109"/>
      <c r="AS600" s="109"/>
      <c r="AT600" s="109"/>
      <c r="AU600" s="109"/>
      <c r="AV600" s="109"/>
      <c r="AW600" s="109"/>
      <c r="AX600" s="109"/>
      <c r="AY600" s="109"/>
      <c r="AZ600" s="109"/>
      <c r="BA600" s="109"/>
      <c r="BB600" s="109"/>
      <c r="BC600" s="109"/>
      <c r="BD600" s="109"/>
      <c r="BE600" s="109"/>
      <c r="BF600" s="109"/>
      <c r="BG600" s="109"/>
      <c r="BH600" s="109"/>
      <c r="BI600" s="109"/>
      <c r="BJ600" s="109"/>
      <c r="BK600" s="109"/>
      <c r="BL600" s="109"/>
      <c r="BM600" s="109"/>
      <c r="BN600" s="109"/>
      <c r="BO600" s="109"/>
      <c r="BP600" s="109"/>
      <c r="BQ600" s="109"/>
      <c r="BR600" s="109"/>
      <c r="BS600" s="109"/>
      <c r="BT600" s="109"/>
      <c r="BU600" s="109"/>
    </row>
    <row r="601" ht="15.75" customHeight="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10"/>
      <c r="X601" s="109"/>
      <c r="Y601" s="109"/>
      <c r="Z601" s="109"/>
      <c r="AA601" s="109"/>
      <c r="AB601" s="109"/>
      <c r="AC601" s="109"/>
      <c r="AD601" s="109"/>
      <c r="AE601" s="109"/>
      <c r="AF601" s="109"/>
      <c r="AG601" s="109"/>
      <c r="AH601" s="109"/>
      <c r="AI601" s="109"/>
      <c r="AJ601" s="109"/>
      <c r="AK601" s="109"/>
      <c r="AL601" s="109"/>
      <c r="AM601" s="109"/>
      <c r="AN601" s="109"/>
      <c r="AO601" s="109"/>
      <c r="AP601" s="109"/>
      <c r="AQ601" s="109"/>
      <c r="AR601" s="109"/>
      <c r="AS601" s="109"/>
      <c r="AT601" s="109"/>
      <c r="AU601" s="109"/>
      <c r="AV601" s="109"/>
      <c r="AW601" s="109"/>
      <c r="AX601" s="109"/>
      <c r="AY601" s="109"/>
      <c r="AZ601" s="109"/>
      <c r="BA601" s="109"/>
      <c r="BB601" s="109"/>
      <c r="BC601" s="109"/>
      <c r="BD601" s="109"/>
      <c r="BE601" s="109"/>
      <c r="BF601" s="109"/>
      <c r="BG601" s="109"/>
      <c r="BH601" s="109"/>
      <c r="BI601" s="109"/>
      <c r="BJ601" s="109"/>
      <c r="BK601" s="109"/>
      <c r="BL601" s="109"/>
      <c r="BM601" s="109"/>
      <c r="BN601" s="109"/>
      <c r="BO601" s="109"/>
      <c r="BP601" s="109"/>
      <c r="BQ601" s="109"/>
      <c r="BR601" s="109"/>
      <c r="BS601" s="109"/>
      <c r="BT601" s="109"/>
      <c r="BU601" s="109"/>
    </row>
    <row r="602" ht="15.75" customHeight="1">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10"/>
      <c r="X602" s="109"/>
      <c r="Y602" s="109"/>
      <c r="Z602" s="109"/>
      <c r="AA602" s="109"/>
      <c r="AB602" s="109"/>
      <c r="AC602" s="109"/>
      <c r="AD602" s="109"/>
      <c r="AE602" s="109"/>
      <c r="AF602" s="109"/>
      <c r="AG602" s="109"/>
      <c r="AH602" s="109"/>
      <c r="AI602" s="109"/>
      <c r="AJ602" s="109"/>
      <c r="AK602" s="109"/>
      <c r="AL602" s="109"/>
      <c r="AM602" s="109"/>
      <c r="AN602" s="109"/>
      <c r="AO602" s="109"/>
      <c r="AP602" s="109"/>
      <c r="AQ602" s="109"/>
      <c r="AR602" s="109"/>
      <c r="AS602" s="109"/>
      <c r="AT602" s="109"/>
      <c r="AU602" s="109"/>
      <c r="AV602" s="109"/>
      <c r="AW602" s="109"/>
      <c r="AX602" s="109"/>
      <c r="AY602" s="109"/>
      <c r="AZ602" s="109"/>
      <c r="BA602" s="109"/>
      <c r="BB602" s="109"/>
      <c r="BC602" s="109"/>
      <c r="BD602" s="109"/>
      <c r="BE602" s="109"/>
      <c r="BF602" s="109"/>
      <c r="BG602" s="109"/>
      <c r="BH602" s="109"/>
      <c r="BI602" s="109"/>
      <c r="BJ602" s="109"/>
      <c r="BK602" s="109"/>
      <c r="BL602" s="109"/>
      <c r="BM602" s="109"/>
      <c r="BN602" s="109"/>
      <c r="BO602" s="109"/>
      <c r="BP602" s="109"/>
      <c r="BQ602" s="109"/>
      <c r="BR602" s="109"/>
      <c r="BS602" s="109"/>
      <c r="BT602" s="109"/>
      <c r="BU602" s="109"/>
    </row>
    <row r="603" ht="15.75" customHeight="1">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10"/>
      <c r="X603" s="109"/>
      <c r="Y603" s="109"/>
      <c r="Z603" s="109"/>
      <c r="AA603" s="109"/>
      <c r="AB603" s="109"/>
      <c r="AC603" s="109"/>
      <c r="AD603" s="109"/>
      <c r="AE603" s="109"/>
      <c r="AF603" s="109"/>
      <c r="AG603" s="109"/>
      <c r="AH603" s="109"/>
      <c r="AI603" s="109"/>
      <c r="AJ603" s="109"/>
      <c r="AK603" s="109"/>
      <c r="AL603" s="109"/>
      <c r="AM603" s="109"/>
      <c r="AN603" s="109"/>
      <c r="AO603" s="109"/>
      <c r="AP603" s="109"/>
      <c r="AQ603" s="109"/>
      <c r="AR603" s="109"/>
      <c r="AS603" s="109"/>
      <c r="AT603" s="109"/>
      <c r="AU603" s="109"/>
      <c r="AV603" s="109"/>
      <c r="AW603" s="109"/>
      <c r="AX603" s="109"/>
      <c r="AY603" s="109"/>
      <c r="AZ603" s="109"/>
      <c r="BA603" s="109"/>
      <c r="BB603" s="109"/>
      <c r="BC603" s="109"/>
      <c r="BD603" s="109"/>
      <c r="BE603" s="109"/>
      <c r="BF603" s="109"/>
      <c r="BG603" s="109"/>
      <c r="BH603" s="109"/>
      <c r="BI603" s="109"/>
      <c r="BJ603" s="109"/>
      <c r="BK603" s="109"/>
      <c r="BL603" s="109"/>
      <c r="BM603" s="109"/>
      <c r="BN603" s="109"/>
      <c r="BO603" s="109"/>
      <c r="BP603" s="109"/>
      <c r="BQ603" s="109"/>
      <c r="BR603" s="109"/>
      <c r="BS603" s="109"/>
      <c r="BT603" s="109"/>
      <c r="BU603" s="109"/>
    </row>
    <row r="604" ht="15.75" customHeight="1">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10"/>
      <c r="X604" s="109"/>
      <c r="Y604" s="109"/>
      <c r="Z604" s="109"/>
      <c r="AA604" s="109"/>
      <c r="AB604" s="109"/>
      <c r="AC604" s="109"/>
      <c r="AD604" s="109"/>
      <c r="AE604" s="109"/>
      <c r="AF604" s="109"/>
      <c r="AG604" s="109"/>
      <c r="AH604" s="109"/>
      <c r="AI604" s="109"/>
      <c r="AJ604" s="109"/>
      <c r="AK604" s="109"/>
      <c r="AL604" s="109"/>
      <c r="AM604" s="109"/>
      <c r="AN604" s="109"/>
      <c r="AO604" s="109"/>
      <c r="AP604" s="109"/>
      <c r="AQ604" s="109"/>
      <c r="AR604" s="109"/>
      <c r="AS604" s="109"/>
      <c r="AT604" s="109"/>
      <c r="AU604" s="109"/>
      <c r="AV604" s="109"/>
      <c r="AW604" s="109"/>
      <c r="AX604" s="109"/>
      <c r="AY604" s="109"/>
      <c r="AZ604" s="109"/>
      <c r="BA604" s="109"/>
      <c r="BB604" s="109"/>
      <c r="BC604" s="109"/>
      <c r="BD604" s="109"/>
      <c r="BE604" s="109"/>
      <c r="BF604" s="109"/>
      <c r="BG604" s="109"/>
      <c r="BH604" s="109"/>
      <c r="BI604" s="109"/>
      <c r="BJ604" s="109"/>
      <c r="BK604" s="109"/>
      <c r="BL604" s="109"/>
      <c r="BM604" s="109"/>
      <c r="BN604" s="109"/>
      <c r="BO604" s="109"/>
      <c r="BP604" s="109"/>
      <c r="BQ604" s="109"/>
      <c r="BR604" s="109"/>
      <c r="BS604" s="109"/>
      <c r="BT604" s="109"/>
      <c r="BU604" s="109"/>
    </row>
    <row r="605" ht="15.75" customHeight="1">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10"/>
      <c r="X605" s="109"/>
      <c r="Y605" s="109"/>
      <c r="Z605" s="109"/>
      <c r="AA605" s="109"/>
      <c r="AB605" s="109"/>
      <c r="AC605" s="109"/>
      <c r="AD605" s="109"/>
      <c r="AE605" s="109"/>
      <c r="AF605" s="109"/>
      <c r="AG605" s="109"/>
      <c r="AH605" s="109"/>
      <c r="AI605" s="109"/>
      <c r="AJ605" s="109"/>
      <c r="AK605" s="109"/>
      <c r="AL605" s="109"/>
      <c r="AM605" s="109"/>
      <c r="AN605" s="109"/>
      <c r="AO605" s="109"/>
      <c r="AP605" s="109"/>
      <c r="AQ605" s="109"/>
      <c r="AR605" s="109"/>
      <c r="AS605" s="109"/>
      <c r="AT605" s="109"/>
      <c r="AU605" s="109"/>
      <c r="AV605" s="109"/>
      <c r="AW605" s="109"/>
      <c r="AX605" s="109"/>
      <c r="AY605" s="109"/>
      <c r="AZ605" s="109"/>
      <c r="BA605" s="109"/>
      <c r="BB605" s="109"/>
      <c r="BC605" s="109"/>
      <c r="BD605" s="109"/>
      <c r="BE605" s="109"/>
      <c r="BF605" s="109"/>
      <c r="BG605" s="109"/>
      <c r="BH605" s="109"/>
      <c r="BI605" s="109"/>
      <c r="BJ605" s="109"/>
      <c r="BK605" s="109"/>
      <c r="BL605" s="109"/>
      <c r="BM605" s="109"/>
      <c r="BN605" s="109"/>
      <c r="BO605" s="109"/>
      <c r="BP605" s="109"/>
      <c r="BQ605" s="109"/>
      <c r="BR605" s="109"/>
      <c r="BS605" s="109"/>
      <c r="BT605" s="109"/>
      <c r="BU605" s="109"/>
    </row>
    <row r="606" ht="15.75" customHeight="1">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10"/>
      <c r="X606" s="109"/>
      <c r="Y606" s="109"/>
      <c r="Z606" s="109"/>
      <c r="AA606" s="109"/>
      <c r="AB606" s="109"/>
      <c r="AC606" s="109"/>
      <c r="AD606" s="109"/>
      <c r="AE606" s="109"/>
      <c r="AF606" s="109"/>
      <c r="AG606" s="109"/>
      <c r="AH606" s="109"/>
      <c r="AI606" s="109"/>
      <c r="AJ606" s="109"/>
      <c r="AK606" s="109"/>
      <c r="AL606" s="109"/>
      <c r="AM606" s="109"/>
      <c r="AN606" s="109"/>
      <c r="AO606" s="109"/>
      <c r="AP606" s="109"/>
      <c r="AQ606" s="109"/>
      <c r="AR606" s="109"/>
      <c r="AS606" s="109"/>
      <c r="AT606" s="109"/>
      <c r="AU606" s="109"/>
      <c r="AV606" s="109"/>
      <c r="AW606" s="109"/>
      <c r="AX606" s="109"/>
      <c r="AY606" s="109"/>
      <c r="AZ606" s="109"/>
      <c r="BA606" s="109"/>
      <c r="BB606" s="109"/>
      <c r="BC606" s="109"/>
      <c r="BD606" s="109"/>
      <c r="BE606" s="109"/>
      <c r="BF606" s="109"/>
      <c r="BG606" s="109"/>
      <c r="BH606" s="109"/>
      <c r="BI606" s="109"/>
      <c r="BJ606" s="109"/>
      <c r="BK606" s="109"/>
      <c r="BL606" s="109"/>
      <c r="BM606" s="109"/>
      <c r="BN606" s="109"/>
      <c r="BO606" s="109"/>
      <c r="BP606" s="109"/>
      <c r="BQ606" s="109"/>
      <c r="BR606" s="109"/>
      <c r="BS606" s="109"/>
      <c r="BT606" s="109"/>
      <c r="BU606" s="109"/>
    </row>
    <row r="607" ht="15.75" customHeight="1">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10"/>
      <c r="X607" s="109"/>
      <c r="Y607" s="109"/>
      <c r="Z607" s="109"/>
      <c r="AA607" s="109"/>
      <c r="AB607" s="109"/>
      <c r="AC607" s="109"/>
      <c r="AD607" s="109"/>
      <c r="AE607" s="109"/>
      <c r="AF607" s="109"/>
      <c r="AG607" s="109"/>
      <c r="AH607" s="109"/>
      <c r="AI607" s="109"/>
      <c r="AJ607" s="109"/>
      <c r="AK607" s="109"/>
      <c r="AL607" s="109"/>
      <c r="AM607" s="109"/>
      <c r="AN607" s="109"/>
      <c r="AO607" s="109"/>
      <c r="AP607" s="109"/>
      <c r="AQ607" s="109"/>
      <c r="AR607" s="109"/>
      <c r="AS607" s="109"/>
      <c r="AT607" s="109"/>
      <c r="AU607" s="109"/>
      <c r="AV607" s="109"/>
      <c r="AW607" s="109"/>
      <c r="AX607" s="109"/>
      <c r="AY607" s="109"/>
      <c r="AZ607" s="109"/>
      <c r="BA607" s="109"/>
      <c r="BB607" s="109"/>
      <c r="BC607" s="109"/>
      <c r="BD607" s="109"/>
      <c r="BE607" s="109"/>
      <c r="BF607" s="109"/>
      <c r="BG607" s="109"/>
      <c r="BH607" s="109"/>
      <c r="BI607" s="109"/>
      <c r="BJ607" s="109"/>
      <c r="BK607" s="109"/>
      <c r="BL607" s="109"/>
      <c r="BM607" s="109"/>
      <c r="BN607" s="109"/>
      <c r="BO607" s="109"/>
      <c r="BP607" s="109"/>
      <c r="BQ607" s="109"/>
      <c r="BR607" s="109"/>
      <c r="BS607" s="109"/>
      <c r="BT607" s="109"/>
      <c r="BU607" s="109"/>
    </row>
    <row r="608" ht="15.75" customHeight="1">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10"/>
      <c r="X608" s="109"/>
      <c r="Y608" s="109"/>
      <c r="Z608" s="109"/>
      <c r="AA608" s="109"/>
      <c r="AB608" s="109"/>
      <c r="AC608" s="109"/>
      <c r="AD608" s="109"/>
      <c r="AE608" s="109"/>
      <c r="AF608" s="109"/>
      <c r="AG608" s="109"/>
      <c r="AH608" s="109"/>
      <c r="AI608" s="109"/>
      <c r="AJ608" s="109"/>
      <c r="AK608" s="109"/>
      <c r="AL608" s="109"/>
      <c r="AM608" s="109"/>
      <c r="AN608" s="109"/>
      <c r="AO608" s="109"/>
      <c r="AP608" s="109"/>
      <c r="AQ608" s="109"/>
      <c r="AR608" s="109"/>
      <c r="AS608" s="109"/>
      <c r="AT608" s="109"/>
      <c r="AU608" s="109"/>
      <c r="AV608" s="109"/>
      <c r="AW608" s="109"/>
      <c r="AX608" s="109"/>
      <c r="AY608" s="109"/>
      <c r="AZ608" s="109"/>
      <c r="BA608" s="109"/>
      <c r="BB608" s="109"/>
      <c r="BC608" s="109"/>
      <c r="BD608" s="109"/>
      <c r="BE608" s="109"/>
      <c r="BF608" s="109"/>
      <c r="BG608" s="109"/>
      <c r="BH608" s="109"/>
      <c r="BI608" s="109"/>
      <c r="BJ608" s="109"/>
      <c r="BK608" s="109"/>
      <c r="BL608" s="109"/>
      <c r="BM608" s="109"/>
      <c r="BN608" s="109"/>
      <c r="BO608" s="109"/>
      <c r="BP608" s="109"/>
      <c r="BQ608" s="109"/>
      <c r="BR608" s="109"/>
      <c r="BS608" s="109"/>
      <c r="BT608" s="109"/>
      <c r="BU608" s="109"/>
    </row>
    <row r="609" ht="15.75" customHeight="1">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10"/>
      <c r="X609" s="109"/>
      <c r="Y609" s="109"/>
      <c r="Z609" s="109"/>
      <c r="AA609" s="109"/>
      <c r="AB609" s="109"/>
      <c r="AC609" s="109"/>
      <c r="AD609" s="109"/>
      <c r="AE609" s="109"/>
      <c r="AF609" s="109"/>
      <c r="AG609" s="109"/>
      <c r="AH609" s="109"/>
      <c r="AI609" s="109"/>
      <c r="AJ609" s="109"/>
      <c r="AK609" s="109"/>
      <c r="AL609" s="109"/>
      <c r="AM609" s="109"/>
      <c r="AN609" s="109"/>
      <c r="AO609" s="109"/>
      <c r="AP609" s="109"/>
      <c r="AQ609" s="109"/>
      <c r="AR609" s="109"/>
      <c r="AS609" s="109"/>
      <c r="AT609" s="109"/>
      <c r="AU609" s="109"/>
      <c r="AV609" s="109"/>
      <c r="AW609" s="109"/>
      <c r="AX609" s="109"/>
      <c r="AY609" s="109"/>
      <c r="AZ609" s="109"/>
      <c r="BA609" s="109"/>
      <c r="BB609" s="109"/>
      <c r="BC609" s="109"/>
      <c r="BD609" s="109"/>
      <c r="BE609" s="109"/>
      <c r="BF609" s="109"/>
      <c r="BG609" s="109"/>
      <c r="BH609" s="109"/>
      <c r="BI609" s="109"/>
      <c r="BJ609" s="109"/>
      <c r="BK609" s="109"/>
      <c r="BL609" s="109"/>
      <c r="BM609" s="109"/>
      <c r="BN609" s="109"/>
      <c r="BO609" s="109"/>
      <c r="BP609" s="109"/>
      <c r="BQ609" s="109"/>
      <c r="BR609" s="109"/>
      <c r="BS609" s="109"/>
      <c r="BT609" s="109"/>
      <c r="BU609" s="109"/>
    </row>
    <row r="610" ht="15.75" customHeight="1">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10"/>
      <c r="X610" s="109"/>
      <c r="Y610" s="109"/>
      <c r="Z610" s="109"/>
      <c r="AA610" s="109"/>
      <c r="AB610" s="109"/>
      <c r="AC610" s="109"/>
      <c r="AD610" s="109"/>
      <c r="AE610" s="109"/>
      <c r="AF610" s="109"/>
      <c r="AG610" s="109"/>
      <c r="AH610" s="109"/>
      <c r="AI610" s="109"/>
      <c r="AJ610" s="109"/>
      <c r="AK610" s="109"/>
      <c r="AL610" s="109"/>
      <c r="AM610" s="109"/>
      <c r="AN610" s="109"/>
      <c r="AO610" s="109"/>
      <c r="AP610" s="109"/>
      <c r="AQ610" s="109"/>
      <c r="AR610" s="109"/>
      <c r="AS610" s="109"/>
      <c r="AT610" s="109"/>
      <c r="AU610" s="109"/>
      <c r="AV610" s="109"/>
      <c r="AW610" s="109"/>
      <c r="AX610" s="109"/>
      <c r="AY610" s="109"/>
      <c r="AZ610" s="109"/>
      <c r="BA610" s="109"/>
      <c r="BB610" s="109"/>
      <c r="BC610" s="109"/>
      <c r="BD610" s="109"/>
      <c r="BE610" s="109"/>
      <c r="BF610" s="109"/>
      <c r="BG610" s="109"/>
      <c r="BH610" s="109"/>
      <c r="BI610" s="109"/>
      <c r="BJ610" s="109"/>
      <c r="BK610" s="109"/>
      <c r="BL610" s="109"/>
      <c r="BM610" s="109"/>
      <c r="BN610" s="109"/>
      <c r="BO610" s="109"/>
      <c r="BP610" s="109"/>
      <c r="BQ610" s="109"/>
      <c r="BR610" s="109"/>
      <c r="BS610" s="109"/>
      <c r="BT610" s="109"/>
      <c r="BU610" s="109"/>
    </row>
    <row r="611" ht="15.75" customHeight="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10"/>
      <c r="X611" s="109"/>
      <c r="Y611" s="109"/>
      <c r="Z611" s="109"/>
      <c r="AA611" s="109"/>
      <c r="AB611" s="109"/>
      <c r="AC611" s="109"/>
      <c r="AD611" s="109"/>
      <c r="AE611" s="109"/>
      <c r="AF611" s="109"/>
      <c r="AG611" s="109"/>
      <c r="AH611" s="109"/>
      <c r="AI611" s="109"/>
      <c r="AJ611" s="109"/>
      <c r="AK611" s="109"/>
      <c r="AL611" s="109"/>
      <c r="AM611" s="109"/>
      <c r="AN611" s="109"/>
      <c r="AO611" s="109"/>
      <c r="AP611" s="109"/>
      <c r="AQ611" s="109"/>
      <c r="AR611" s="109"/>
      <c r="AS611" s="109"/>
      <c r="AT611" s="109"/>
      <c r="AU611" s="109"/>
      <c r="AV611" s="109"/>
      <c r="AW611" s="109"/>
      <c r="AX611" s="109"/>
      <c r="AY611" s="109"/>
      <c r="AZ611" s="109"/>
      <c r="BA611" s="109"/>
      <c r="BB611" s="109"/>
      <c r="BC611" s="109"/>
      <c r="BD611" s="109"/>
      <c r="BE611" s="109"/>
      <c r="BF611" s="109"/>
      <c r="BG611" s="109"/>
      <c r="BH611" s="109"/>
      <c r="BI611" s="109"/>
      <c r="BJ611" s="109"/>
      <c r="BK611" s="109"/>
      <c r="BL611" s="109"/>
      <c r="BM611" s="109"/>
      <c r="BN611" s="109"/>
      <c r="BO611" s="109"/>
      <c r="BP611" s="109"/>
      <c r="BQ611" s="109"/>
      <c r="BR611" s="109"/>
      <c r="BS611" s="109"/>
      <c r="BT611" s="109"/>
      <c r="BU611" s="109"/>
    </row>
    <row r="612" ht="15.75" customHeight="1">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10"/>
      <c r="X612" s="109"/>
      <c r="Y612" s="109"/>
      <c r="Z612" s="109"/>
      <c r="AA612" s="109"/>
      <c r="AB612" s="109"/>
      <c r="AC612" s="109"/>
      <c r="AD612" s="109"/>
      <c r="AE612" s="109"/>
      <c r="AF612" s="109"/>
      <c r="AG612" s="109"/>
      <c r="AH612" s="109"/>
      <c r="AI612" s="109"/>
      <c r="AJ612" s="109"/>
      <c r="AK612" s="109"/>
      <c r="AL612" s="109"/>
      <c r="AM612" s="109"/>
      <c r="AN612" s="109"/>
      <c r="AO612" s="109"/>
      <c r="AP612" s="109"/>
      <c r="AQ612" s="109"/>
      <c r="AR612" s="109"/>
      <c r="AS612" s="109"/>
      <c r="AT612" s="109"/>
      <c r="AU612" s="109"/>
      <c r="AV612" s="109"/>
      <c r="AW612" s="109"/>
      <c r="AX612" s="109"/>
      <c r="AY612" s="109"/>
      <c r="AZ612" s="109"/>
      <c r="BA612" s="109"/>
      <c r="BB612" s="109"/>
      <c r="BC612" s="109"/>
      <c r="BD612" s="109"/>
      <c r="BE612" s="109"/>
      <c r="BF612" s="109"/>
      <c r="BG612" s="109"/>
      <c r="BH612" s="109"/>
      <c r="BI612" s="109"/>
      <c r="BJ612" s="109"/>
      <c r="BK612" s="109"/>
      <c r="BL612" s="109"/>
      <c r="BM612" s="109"/>
      <c r="BN612" s="109"/>
      <c r="BO612" s="109"/>
      <c r="BP612" s="109"/>
      <c r="BQ612" s="109"/>
      <c r="BR612" s="109"/>
      <c r="BS612" s="109"/>
      <c r="BT612" s="109"/>
      <c r="BU612" s="109"/>
    </row>
    <row r="613" ht="15.75" customHeight="1">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10"/>
      <c r="X613" s="109"/>
      <c r="Y613" s="109"/>
      <c r="Z613" s="109"/>
      <c r="AA613" s="109"/>
      <c r="AB613" s="109"/>
      <c r="AC613" s="109"/>
      <c r="AD613" s="109"/>
      <c r="AE613" s="109"/>
      <c r="AF613" s="109"/>
      <c r="AG613" s="109"/>
      <c r="AH613" s="109"/>
      <c r="AI613" s="109"/>
      <c r="AJ613" s="109"/>
      <c r="AK613" s="109"/>
      <c r="AL613" s="109"/>
      <c r="AM613" s="109"/>
      <c r="AN613" s="109"/>
      <c r="AO613" s="109"/>
      <c r="AP613" s="109"/>
      <c r="AQ613" s="109"/>
      <c r="AR613" s="109"/>
      <c r="AS613" s="109"/>
      <c r="AT613" s="109"/>
      <c r="AU613" s="109"/>
      <c r="AV613" s="109"/>
      <c r="AW613" s="109"/>
      <c r="AX613" s="109"/>
      <c r="AY613" s="109"/>
      <c r="AZ613" s="109"/>
      <c r="BA613" s="109"/>
      <c r="BB613" s="109"/>
      <c r="BC613" s="109"/>
      <c r="BD613" s="109"/>
      <c r="BE613" s="109"/>
      <c r="BF613" s="109"/>
      <c r="BG613" s="109"/>
      <c r="BH613" s="109"/>
      <c r="BI613" s="109"/>
      <c r="BJ613" s="109"/>
      <c r="BK613" s="109"/>
      <c r="BL613" s="109"/>
      <c r="BM613" s="109"/>
      <c r="BN613" s="109"/>
      <c r="BO613" s="109"/>
      <c r="BP613" s="109"/>
      <c r="BQ613" s="109"/>
      <c r="BR613" s="109"/>
      <c r="BS613" s="109"/>
      <c r="BT613" s="109"/>
      <c r="BU613" s="109"/>
    </row>
    <row r="614" ht="15.75" customHeight="1">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10"/>
      <c r="X614" s="109"/>
      <c r="Y614" s="109"/>
      <c r="Z614" s="109"/>
      <c r="AA614" s="109"/>
      <c r="AB614" s="109"/>
      <c r="AC614" s="109"/>
      <c r="AD614" s="109"/>
      <c r="AE614" s="109"/>
      <c r="AF614" s="109"/>
      <c r="AG614" s="109"/>
      <c r="AH614" s="109"/>
      <c r="AI614" s="109"/>
      <c r="AJ614" s="109"/>
      <c r="AK614" s="109"/>
      <c r="AL614" s="109"/>
      <c r="AM614" s="109"/>
      <c r="AN614" s="109"/>
      <c r="AO614" s="109"/>
      <c r="AP614" s="109"/>
      <c r="AQ614" s="109"/>
      <c r="AR614" s="109"/>
      <c r="AS614" s="109"/>
      <c r="AT614" s="109"/>
      <c r="AU614" s="109"/>
      <c r="AV614" s="109"/>
      <c r="AW614" s="109"/>
      <c r="AX614" s="109"/>
      <c r="AY614" s="109"/>
      <c r="AZ614" s="109"/>
      <c r="BA614" s="109"/>
      <c r="BB614" s="109"/>
      <c r="BC614" s="109"/>
      <c r="BD614" s="109"/>
      <c r="BE614" s="109"/>
      <c r="BF614" s="109"/>
      <c r="BG614" s="109"/>
      <c r="BH614" s="109"/>
      <c r="BI614" s="109"/>
      <c r="BJ614" s="109"/>
      <c r="BK614" s="109"/>
      <c r="BL614" s="109"/>
      <c r="BM614" s="109"/>
      <c r="BN614" s="109"/>
      <c r="BO614" s="109"/>
      <c r="BP614" s="109"/>
      <c r="BQ614" s="109"/>
      <c r="BR614" s="109"/>
      <c r="BS614" s="109"/>
      <c r="BT614" s="109"/>
      <c r="BU614" s="109"/>
    </row>
    <row r="615" ht="15.75" customHeight="1">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10"/>
      <c r="X615" s="109"/>
      <c r="Y615" s="109"/>
      <c r="Z615" s="109"/>
      <c r="AA615" s="109"/>
      <c r="AB615" s="109"/>
      <c r="AC615" s="109"/>
      <c r="AD615" s="109"/>
      <c r="AE615" s="109"/>
      <c r="AF615" s="109"/>
      <c r="AG615" s="109"/>
      <c r="AH615" s="109"/>
      <c r="AI615" s="109"/>
      <c r="AJ615" s="109"/>
      <c r="AK615" s="109"/>
      <c r="AL615" s="109"/>
      <c r="AM615" s="109"/>
      <c r="AN615" s="109"/>
      <c r="AO615" s="109"/>
      <c r="AP615" s="109"/>
      <c r="AQ615" s="109"/>
      <c r="AR615" s="109"/>
      <c r="AS615" s="109"/>
      <c r="AT615" s="109"/>
      <c r="AU615" s="109"/>
      <c r="AV615" s="109"/>
      <c r="AW615" s="109"/>
      <c r="AX615" s="109"/>
      <c r="AY615" s="109"/>
      <c r="AZ615" s="109"/>
      <c r="BA615" s="109"/>
      <c r="BB615" s="109"/>
      <c r="BC615" s="109"/>
      <c r="BD615" s="109"/>
      <c r="BE615" s="109"/>
      <c r="BF615" s="109"/>
      <c r="BG615" s="109"/>
      <c r="BH615" s="109"/>
      <c r="BI615" s="109"/>
      <c r="BJ615" s="109"/>
      <c r="BK615" s="109"/>
      <c r="BL615" s="109"/>
      <c r="BM615" s="109"/>
      <c r="BN615" s="109"/>
      <c r="BO615" s="109"/>
      <c r="BP615" s="109"/>
      <c r="BQ615" s="109"/>
      <c r="BR615" s="109"/>
      <c r="BS615" s="109"/>
      <c r="BT615" s="109"/>
      <c r="BU615" s="109"/>
    </row>
    <row r="616" ht="15.75" customHeight="1">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10"/>
      <c r="X616" s="109"/>
      <c r="Y616" s="109"/>
      <c r="Z616" s="109"/>
      <c r="AA616" s="109"/>
      <c r="AB616" s="109"/>
      <c r="AC616" s="109"/>
      <c r="AD616" s="109"/>
      <c r="AE616" s="109"/>
      <c r="AF616" s="109"/>
      <c r="AG616" s="109"/>
      <c r="AH616" s="109"/>
      <c r="AI616" s="109"/>
      <c r="AJ616" s="109"/>
      <c r="AK616" s="109"/>
      <c r="AL616" s="109"/>
      <c r="AM616" s="109"/>
      <c r="AN616" s="109"/>
      <c r="AO616" s="109"/>
      <c r="AP616" s="109"/>
      <c r="AQ616" s="109"/>
      <c r="AR616" s="109"/>
      <c r="AS616" s="109"/>
      <c r="AT616" s="109"/>
      <c r="AU616" s="109"/>
      <c r="AV616" s="109"/>
      <c r="AW616" s="109"/>
      <c r="AX616" s="109"/>
      <c r="AY616" s="109"/>
      <c r="AZ616" s="109"/>
      <c r="BA616" s="109"/>
      <c r="BB616" s="109"/>
      <c r="BC616" s="109"/>
      <c r="BD616" s="109"/>
      <c r="BE616" s="109"/>
      <c r="BF616" s="109"/>
      <c r="BG616" s="109"/>
      <c r="BH616" s="109"/>
      <c r="BI616" s="109"/>
      <c r="BJ616" s="109"/>
      <c r="BK616" s="109"/>
      <c r="BL616" s="109"/>
      <c r="BM616" s="109"/>
      <c r="BN616" s="109"/>
      <c r="BO616" s="109"/>
      <c r="BP616" s="109"/>
      <c r="BQ616" s="109"/>
      <c r="BR616" s="109"/>
      <c r="BS616" s="109"/>
      <c r="BT616" s="109"/>
      <c r="BU616" s="109"/>
    </row>
    <row r="617" ht="15.75" customHeight="1">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10"/>
      <c r="X617" s="109"/>
      <c r="Y617" s="109"/>
      <c r="Z617" s="109"/>
      <c r="AA617" s="109"/>
      <c r="AB617" s="109"/>
      <c r="AC617" s="109"/>
      <c r="AD617" s="109"/>
      <c r="AE617" s="109"/>
      <c r="AF617" s="109"/>
      <c r="AG617" s="109"/>
      <c r="AH617" s="109"/>
      <c r="AI617" s="109"/>
      <c r="AJ617" s="109"/>
      <c r="AK617" s="109"/>
      <c r="AL617" s="109"/>
      <c r="AM617" s="109"/>
      <c r="AN617" s="109"/>
      <c r="AO617" s="109"/>
      <c r="AP617" s="109"/>
      <c r="AQ617" s="109"/>
      <c r="AR617" s="109"/>
      <c r="AS617" s="109"/>
      <c r="AT617" s="109"/>
      <c r="AU617" s="109"/>
      <c r="AV617" s="109"/>
      <c r="AW617" s="109"/>
      <c r="AX617" s="109"/>
      <c r="AY617" s="109"/>
      <c r="AZ617" s="109"/>
      <c r="BA617" s="109"/>
      <c r="BB617" s="109"/>
      <c r="BC617" s="109"/>
      <c r="BD617" s="109"/>
      <c r="BE617" s="109"/>
      <c r="BF617" s="109"/>
      <c r="BG617" s="109"/>
      <c r="BH617" s="109"/>
      <c r="BI617" s="109"/>
      <c r="BJ617" s="109"/>
      <c r="BK617" s="109"/>
      <c r="BL617" s="109"/>
      <c r="BM617" s="109"/>
      <c r="BN617" s="109"/>
      <c r="BO617" s="109"/>
      <c r="BP617" s="109"/>
      <c r="BQ617" s="109"/>
      <c r="BR617" s="109"/>
      <c r="BS617" s="109"/>
      <c r="BT617" s="109"/>
      <c r="BU617" s="109"/>
    </row>
    <row r="618" ht="15.75" customHeight="1">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10"/>
      <c r="X618" s="109"/>
      <c r="Y618" s="109"/>
      <c r="Z618" s="109"/>
      <c r="AA618" s="109"/>
      <c r="AB618" s="109"/>
      <c r="AC618" s="109"/>
      <c r="AD618" s="109"/>
      <c r="AE618" s="109"/>
      <c r="AF618" s="109"/>
      <c r="AG618" s="109"/>
      <c r="AH618" s="109"/>
      <c r="AI618" s="109"/>
      <c r="AJ618" s="109"/>
      <c r="AK618" s="109"/>
      <c r="AL618" s="109"/>
      <c r="AM618" s="109"/>
      <c r="AN618" s="109"/>
      <c r="AO618" s="109"/>
      <c r="AP618" s="109"/>
      <c r="AQ618" s="109"/>
      <c r="AR618" s="109"/>
      <c r="AS618" s="109"/>
      <c r="AT618" s="109"/>
      <c r="AU618" s="109"/>
      <c r="AV618" s="109"/>
      <c r="AW618" s="109"/>
      <c r="AX618" s="109"/>
      <c r="AY618" s="109"/>
      <c r="AZ618" s="109"/>
      <c r="BA618" s="109"/>
      <c r="BB618" s="109"/>
      <c r="BC618" s="109"/>
      <c r="BD618" s="109"/>
      <c r="BE618" s="109"/>
      <c r="BF618" s="109"/>
      <c r="BG618" s="109"/>
      <c r="BH618" s="109"/>
      <c r="BI618" s="109"/>
      <c r="BJ618" s="109"/>
      <c r="BK618" s="109"/>
      <c r="BL618" s="109"/>
      <c r="BM618" s="109"/>
      <c r="BN618" s="109"/>
      <c r="BO618" s="109"/>
      <c r="BP618" s="109"/>
      <c r="BQ618" s="109"/>
      <c r="BR618" s="109"/>
      <c r="BS618" s="109"/>
      <c r="BT618" s="109"/>
      <c r="BU618" s="109"/>
    </row>
    <row r="619" ht="15.75" customHeight="1">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10"/>
      <c r="X619" s="109"/>
      <c r="Y619" s="109"/>
      <c r="Z619" s="109"/>
      <c r="AA619" s="109"/>
      <c r="AB619" s="109"/>
      <c r="AC619" s="109"/>
      <c r="AD619" s="109"/>
      <c r="AE619" s="109"/>
      <c r="AF619" s="109"/>
      <c r="AG619" s="109"/>
      <c r="AH619" s="109"/>
      <c r="AI619" s="109"/>
      <c r="AJ619" s="109"/>
      <c r="AK619" s="109"/>
      <c r="AL619" s="109"/>
      <c r="AM619" s="109"/>
      <c r="AN619" s="109"/>
      <c r="AO619" s="109"/>
      <c r="AP619" s="109"/>
      <c r="AQ619" s="109"/>
      <c r="AR619" s="109"/>
      <c r="AS619" s="109"/>
      <c r="AT619" s="109"/>
      <c r="AU619" s="109"/>
      <c r="AV619" s="109"/>
      <c r="AW619" s="109"/>
      <c r="AX619" s="109"/>
      <c r="AY619" s="109"/>
      <c r="AZ619" s="109"/>
      <c r="BA619" s="109"/>
      <c r="BB619" s="109"/>
      <c r="BC619" s="109"/>
      <c r="BD619" s="109"/>
      <c r="BE619" s="109"/>
      <c r="BF619" s="109"/>
      <c r="BG619" s="109"/>
      <c r="BH619" s="109"/>
      <c r="BI619" s="109"/>
      <c r="BJ619" s="109"/>
      <c r="BK619" s="109"/>
      <c r="BL619" s="109"/>
      <c r="BM619" s="109"/>
      <c r="BN619" s="109"/>
      <c r="BO619" s="109"/>
      <c r="BP619" s="109"/>
      <c r="BQ619" s="109"/>
      <c r="BR619" s="109"/>
      <c r="BS619" s="109"/>
      <c r="BT619" s="109"/>
      <c r="BU619" s="109"/>
    </row>
    <row r="620" ht="15.75" customHeight="1">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10"/>
      <c r="X620" s="109"/>
      <c r="Y620" s="109"/>
      <c r="Z620" s="109"/>
      <c r="AA620" s="109"/>
      <c r="AB620" s="109"/>
      <c r="AC620" s="109"/>
      <c r="AD620" s="109"/>
      <c r="AE620" s="109"/>
      <c r="AF620" s="109"/>
      <c r="AG620" s="109"/>
      <c r="AH620" s="109"/>
      <c r="AI620" s="109"/>
      <c r="AJ620" s="109"/>
      <c r="AK620" s="109"/>
      <c r="AL620" s="109"/>
      <c r="AM620" s="109"/>
      <c r="AN620" s="109"/>
      <c r="AO620" s="109"/>
      <c r="AP620" s="109"/>
      <c r="AQ620" s="109"/>
      <c r="AR620" s="109"/>
      <c r="AS620" s="109"/>
      <c r="AT620" s="109"/>
      <c r="AU620" s="109"/>
      <c r="AV620" s="109"/>
      <c r="AW620" s="109"/>
      <c r="AX620" s="109"/>
      <c r="AY620" s="109"/>
      <c r="AZ620" s="109"/>
      <c r="BA620" s="109"/>
      <c r="BB620" s="109"/>
      <c r="BC620" s="109"/>
      <c r="BD620" s="109"/>
      <c r="BE620" s="109"/>
      <c r="BF620" s="109"/>
      <c r="BG620" s="109"/>
      <c r="BH620" s="109"/>
      <c r="BI620" s="109"/>
      <c r="BJ620" s="109"/>
      <c r="BK620" s="109"/>
      <c r="BL620" s="109"/>
      <c r="BM620" s="109"/>
      <c r="BN620" s="109"/>
      <c r="BO620" s="109"/>
      <c r="BP620" s="109"/>
      <c r="BQ620" s="109"/>
      <c r="BR620" s="109"/>
      <c r="BS620" s="109"/>
      <c r="BT620" s="109"/>
      <c r="BU620" s="109"/>
    </row>
    <row r="621" ht="15.75" customHeight="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10"/>
      <c r="X621" s="109"/>
      <c r="Y621" s="109"/>
      <c r="Z621" s="109"/>
      <c r="AA621" s="109"/>
      <c r="AB621" s="109"/>
      <c r="AC621" s="109"/>
      <c r="AD621" s="109"/>
      <c r="AE621" s="109"/>
      <c r="AF621" s="109"/>
      <c r="AG621" s="109"/>
      <c r="AH621" s="109"/>
      <c r="AI621" s="109"/>
      <c r="AJ621" s="109"/>
      <c r="AK621" s="109"/>
      <c r="AL621" s="109"/>
      <c r="AM621" s="109"/>
      <c r="AN621" s="109"/>
      <c r="AO621" s="109"/>
      <c r="AP621" s="109"/>
      <c r="AQ621" s="109"/>
      <c r="AR621" s="109"/>
      <c r="AS621" s="109"/>
      <c r="AT621" s="109"/>
      <c r="AU621" s="109"/>
      <c r="AV621" s="109"/>
      <c r="AW621" s="109"/>
      <c r="AX621" s="109"/>
      <c r="AY621" s="109"/>
      <c r="AZ621" s="109"/>
      <c r="BA621" s="109"/>
      <c r="BB621" s="109"/>
      <c r="BC621" s="109"/>
      <c r="BD621" s="109"/>
      <c r="BE621" s="109"/>
      <c r="BF621" s="109"/>
      <c r="BG621" s="109"/>
      <c r="BH621" s="109"/>
      <c r="BI621" s="109"/>
      <c r="BJ621" s="109"/>
      <c r="BK621" s="109"/>
      <c r="BL621" s="109"/>
      <c r="BM621" s="109"/>
      <c r="BN621" s="109"/>
      <c r="BO621" s="109"/>
      <c r="BP621" s="109"/>
      <c r="BQ621" s="109"/>
      <c r="BR621" s="109"/>
      <c r="BS621" s="109"/>
      <c r="BT621" s="109"/>
      <c r="BU621" s="109"/>
    </row>
    <row r="622" ht="15.75" customHeight="1">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10"/>
      <c r="X622" s="109"/>
      <c r="Y622" s="109"/>
      <c r="Z622" s="109"/>
      <c r="AA622" s="109"/>
      <c r="AB622" s="109"/>
      <c r="AC622" s="109"/>
      <c r="AD622" s="109"/>
      <c r="AE622" s="109"/>
      <c r="AF622" s="109"/>
      <c r="AG622" s="109"/>
      <c r="AH622" s="109"/>
      <c r="AI622" s="109"/>
      <c r="AJ622" s="109"/>
      <c r="AK622" s="109"/>
      <c r="AL622" s="109"/>
      <c r="AM622" s="109"/>
      <c r="AN622" s="109"/>
      <c r="AO622" s="109"/>
      <c r="AP622" s="109"/>
      <c r="AQ622" s="109"/>
      <c r="AR622" s="109"/>
      <c r="AS622" s="109"/>
      <c r="AT622" s="109"/>
      <c r="AU622" s="109"/>
      <c r="AV622" s="109"/>
      <c r="AW622" s="109"/>
      <c r="AX622" s="109"/>
      <c r="AY622" s="109"/>
      <c r="AZ622" s="109"/>
      <c r="BA622" s="109"/>
      <c r="BB622" s="109"/>
      <c r="BC622" s="109"/>
      <c r="BD622" s="109"/>
      <c r="BE622" s="109"/>
      <c r="BF622" s="109"/>
      <c r="BG622" s="109"/>
      <c r="BH622" s="109"/>
      <c r="BI622" s="109"/>
      <c r="BJ622" s="109"/>
      <c r="BK622" s="109"/>
      <c r="BL622" s="109"/>
      <c r="BM622" s="109"/>
      <c r="BN622" s="109"/>
      <c r="BO622" s="109"/>
      <c r="BP622" s="109"/>
      <c r="BQ622" s="109"/>
      <c r="BR622" s="109"/>
      <c r="BS622" s="109"/>
      <c r="BT622" s="109"/>
      <c r="BU622" s="109"/>
    </row>
    <row r="623" ht="15.75" customHeight="1">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10"/>
      <c r="X623" s="109"/>
      <c r="Y623" s="109"/>
      <c r="Z623" s="109"/>
      <c r="AA623" s="109"/>
      <c r="AB623" s="109"/>
      <c r="AC623" s="109"/>
      <c r="AD623" s="109"/>
      <c r="AE623" s="109"/>
      <c r="AF623" s="109"/>
      <c r="AG623" s="109"/>
      <c r="AH623" s="109"/>
      <c r="AI623" s="109"/>
      <c r="AJ623" s="109"/>
      <c r="AK623" s="109"/>
      <c r="AL623" s="109"/>
      <c r="AM623" s="109"/>
      <c r="AN623" s="109"/>
      <c r="AO623" s="109"/>
      <c r="AP623" s="109"/>
      <c r="AQ623" s="109"/>
      <c r="AR623" s="109"/>
      <c r="AS623" s="109"/>
      <c r="AT623" s="109"/>
      <c r="AU623" s="109"/>
      <c r="AV623" s="109"/>
      <c r="AW623" s="109"/>
      <c r="AX623" s="109"/>
      <c r="AY623" s="109"/>
      <c r="AZ623" s="109"/>
      <c r="BA623" s="109"/>
      <c r="BB623" s="109"/>
      <c r="BC623" s="109"/>
      <c r="BD623" s="109"/>
      <c r="BE623" s="109"/>
      <c r="BF623" s="109"/>
      <c r="BG623" s="109"/>
      <c r="BH623" s="109"/>
      <c r="BI623" s="109"/>
      <c r="BJ623" s="109"/>
      <c r="BK623" s="109"/>
      <c r="BL623" s="109"/>
      <c r="BM623" s="109"/>
      <c r="BN623" s="109"/>
      <c r="BO623" s="109"/>
      <c r="BP623" s="109"/>
      <c r="BQ623" s="109"/>
      <c r="BR623" s="109"/>
      <c r="BS623" s="109"/>
      <c r="BT623" s="109"/>
      <c r="BU623" s="109"/>
    </row>
    <row r="624" ht="15.75" customHeight="1">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10"/>
      <c r="X624" s="109"/>
      <c r="Y624" s="109"/>
      <c r="Z624" s="109"/>
      <c r="AA624" s="109"/>
      <c r="AB624" s="109"/>
      <c r="AC624" s="109"/>
      <c r="AD624" s="109"/>
      <c r="AE624" s="109"/>
      <c r="AF624" s="109"/>
      <c r="AG624" s="109"/>
      <c r="AH624" s="109"/>
      <c r="AI624" s="109"/>
      <c r="AJ624" s="109"/>
      <c r="AK624" s="109"/>
      <c r="AL624" s="109"/>
      <c r="AM624" s="109"/>
      <c r="AN624" s="109"/>
      <c r="AO624" s="109"/>
      <c r="AP624" s="109"/>
      <c r="AQ624" s="109"/>
      <c r="AR624" s="109"/>
      <c r="AS624" s="109"/>
      <c r="AT624" s="109"/>
      <c r="AU624" s="109"/>
      <c r="AV624" s="109"/>
      <c r="AW624" s="109"/>
      <c r="AX624" s="109"/>
      <c r="AY624" s="109"/>
      <c r="AZ624" s="109"/>
      <c r="BA624" s="109"/>
      <c r="BB624" s="109"/>
      <c r="BC624" s="109"/>
      <c r="BD624" s="109"/>
      <c r="BE624" s="109"/>
      <c r="BF624" s="109"/>
      <c r="BG624" s="109"/>
      <c r="BH624" s="109"/>
      <c r="BI624" s="109"/>
      <c r="BJ624" s="109"/>
      <c r="BK624" s="109"/>
      <c r="BL624" s="109"/>
      <c r="BM624" s="109"/>
      <c r="BN624" s="109"/>
      <c r="BO624" s="109"/>
      <c r="BP624" s="109"/>
      <c r="BQ624" s="109"/>
      <c r="BR624" s="109"/>
      <c r="BS624" s="109"/>
      <c r="BT624" s="109"/>
      <c r="BU624" s="109"/>
    </row>
    <row r="625" ht="15.75" customHeight="1">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10"/>
      <c r="X625" s="109"/>
      <c r="Y625" s="109"/>
      <c r="Z625" s="109"/>
      <c r="AA625" s="109"/>
      <c r="AB625" s="109"/>
      <c r="AC625" s="109"/>
      <c r="AD625" s="109"/>
      <c r="AE625" s="109"/>
      <c r="AF625" s="109"/>
      <c r="AG625" s="109"/>
      <c r="AH625" s="109"/>
      <c r="AI625" s="109"/>
      <c r="AJ625" s="109"/>
      <c r="AK625" s="109"/>
      <c r="AL625" s="109"/>
      <c r="AM625" s="109"/>
      <c r="AN625" s="109"/>
      <c r="AO625" s="109"/>
      <c r="AP625" s="109"/>
      <c r="AQ625" s="109"/>
      <c r="AR625" s="109"/>
      <c r="AS625" s="109"/>
      <c r="AT625" s="109"/>
      <c r="AU625" s="109"/>
      <c r="AV625" s="109"/>
      <c r="AW625" s="109"/>
      <c r="AX625" s="109"/>
      <c r="AY625" s="109"/>
      <c r="AZ625" s="109"/>
      <c r="BA625" s="109"/>
      <c r="BB625" s="109"/>
      <c r="BC625" s="109"/>
      <c r="BD625" s="109"/>
      <c r="BE625" s="109"/>
      <c r="BF625" s="109"/>
      <c r="BG625" s="109"/>
      <c r="BH625" s="109"/>
      <c r="BI625" s="109"/>
      <c r="BJ625" s="109"/>
      <c r="BK625" s="109"/>
      <c r="BL625" s="109"/>
      <c r="BM625" s="109"/>
      <c r="BN625" s="109"/>
      <c r="BO625" s="109"/>
      <c r="BP625" s="109"/>
      <c r="BQ625" s="109"/>
      <c r="BR625" s="109"/>
      <c r="BS625" s="109"/>
      <c r="BT625" s="109"/>
      <c r="BU625" s="109"/>
    </row>
    <row r="626" ht="15.75" customHeight="1">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10"/>
      <c r="X626" s="109"/>
      <c r="Y626" s="109"/>
      <c r="Z626" s="109"/>
      <c r="AA626" s="109"/>
      <c r="AB626" s="109"/>
      <c r="AC626" s="109"/>
      <c r="AD626" s="109"/>
      <c r="AE626" s="109"/>
      <c r="AF626" s="109"/>
      <c r="AG626" s="109"/>
      <c r="AH626" s="109"/>
      <c r="AI626" s="109"/>
      <c r="AJ626" s="109"/>
      <c r="AK626" s="109"/>
      <c r="AL626" s="109"/>
      <c r="AM626" s="109"/>
      <c r="AN626" s="109"/>
      <c r="AO626" s="109"/>
      <c r="AP626" s="109"/>
      <c r="AQ626" s="109"/>
      <c r="AR626" s="109"/>
      <c r="AS626" s="109"/>
      <c r="AT626" s="109"/>
      <c r="AU626" s="109"/>
      <c r="AV626" s="109"/>
      <c r="AW626" s="109"/>
      <c r="AX626" s="109"/>
      <c r="AY626" s="109"/>
      <c r="AZ626" s="109"/>
      <c r="BA626" s="109"/>
      <c r="BB626" s="109"/>
      <c r="BC626" s="109"/>
      <c r="BD626" s="109"/>
      <c r="BE626" s="109"/>
      <c r="BF626" s="109"/>
      <c r="BG626" s="109"/>
      <c r="BH626" s="109"/>
      <c r="BI626" s="109"/>
      <c r="BJ626" s="109"/>
      <c r="BK626" s="109"/>
      <c r="BL626" s="109"/>
      <c r="BM626" s="109"/>
      <c r="BN626" s="109"/>
      <c r="BO626" s="109"/>
      <c r="BP626" s="109"/>
      <c r="BQ626" s="109"/>
      <c r="BR626" s="109"/>
      <c r="BS626" s="109"/>
      <c r="BT626" s="109"/>
      <c r="BU626" s="109"/>
    </row>
    <row r="627" ht="15.75" customHeight="1">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10"/>
      <c r="X627" s="109"/>
      <c r="Y627" s="109"/>
      <c r="Z627" s="109"/>
      <c r="AA627" s="109"/>
      <c r="AB627" s="109"/>
      <c r="AC627" s="109"/>
      <c r="AD627" s="109"/>
      <c r="AE627" s="109"/>
      <c r="AF627" s="109"/>
      <c r="AG627" s="109"/>
      <c r="AH627" s="109"/>
      <c r="AI627" s="109"/>
      <c r="AJ627" s="109"/>
      <c r="AK627" s="109"/>
      <c r="AL627" s="109"/>
      <c r="AM627" s="109"/>
      <c r="AN627" s="109"/>
      <c r="AO627" s="109"/>
      <c r="AP627" s="109"/>
      <c r="AQ627" s="109"/>
      <c r="AR627" s="109"/>
      <c r="AS627" s="109"/>
      <c r="AT627" s="109"/>
      <c r="AU627" s="109"/>
      <c r="AV627" s="109"/>
      <c r="AW627" s="109"/>
      <c r="AX627" s="109"/>
      <c r="AY627" s="109"/>
      <c r="AZ627" s="109"/>
      <c r="BA627" s="109"/>
      <c r="BB627" s="109"/>
      <c r="BC627" s="109"/>
      <c r="BD627" s="109"/>
      <c r="BE627" s="109"/>
      <c r="BF627" s="109"/>
      <c r="BG627" s="109"/>
      <c r="BH627" s="109"/>
      <c r="BI627" s="109"/>
      <c r="BJ627" s="109"/>
      <c r="BK627" s="109"/>
      <c r="BL627" s="109"/>
      <c r="BM627" s="109"/>
      <c r="BN627" s="109"/>
      <c r="BO627" s="109"/>
      <c r="BP627" s="109"/>
      <c r="BQ627" s="109"/>
      <c r="BR627" s="109"/>
      <c r="BS627" s="109"/>
      <c r="BT627" s="109"/>
      <c r="BU627" s="109"/>
    </row>
    <row r="628" ht="15.75" customHeight="1">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10"/>
      <c r="X628" s="109"/>
      <c r="Y628" s="109"/>
      <c r="Z628" s="109"/>
      <c r="AA628" s="109"/>
      <c r="AB628" s="109"/>
      <c r="AC628" s="109"/>
      <c r="AD628" s="109"/>
      <c r="AE628" s="109"/>
      <c r="AF628" s="109"/>
      <c r="AG628" s="109"/>
      <c r="AH628" s="109"/>
      <c r="AI628" s="109"/>
      <c r="AJ628" s="109"/>
      <c r="AK628" s="109"/>
      <c r="AL628" s="109"/>
      <c r="AM628" s="109"/>
      <c r="AN628" s="109"/>
      <c r="AO628" s="109"/>
      <c r="AP628" s="109"/>
      <c r="AQ628" s="109"/>
      <c r="AR628" s="109"/>
      <c r="AS628" s="109"/>
      <c r="AT628" s="109"/>
      <c r="AU628" s="109"/>
      <c r="AV628" s="109"/>
      <c r="AW628" s="109"/>
      <c r="AX628" s="109"/>
      <c r="AY628" s="109"/>
      <c r="AZ628" s="109"/>
      <c r="BA628" s="109"/>
      <c r="BB628" s="109"/>
      <c r="BC628" s="109"/>
      <c r="BD628" s="109"/>
      <c r="BE628" s="109"/>
      <c r="BF628" s="109"/>
      <c r="BG628" s="109"/>
      <c r="BH628" s="109"/>
      <c r="BI628" s="109"/>
      <c r="BJ628" s="109"/>
      <c r="BK628" s="109"/>
      <c r="BL628" s="109"/>
      <c r="BM628" s="109"/>
      <c r="BN628" s="109"/>
      <c r="BO628" s="109"/>
      <c r="BP628" s="109"/>
      <c r="BQ628" s="109"/>
      <c r="BR628" s="109"/>
      <c r="BS628" s="109"/>
      <c r="BT628" s="109"/>
      <c r="BU628" s="109"/>
    </row>
    <row r="629" ht="15.75" customHeight="1">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10"/>
      <c r="X629" s="109"/>
      <c r="Y629" s="109"/>
      <c r="Z629" s="109"/>
      <c r="AA629" s="109"/>
      <c r="AB629" s="109"/>
      <c r="AC629" s="109"/>
      <c r="AD629" s="109"/>
      <c r="AE629" s="109"/>
      <c r="AF629" s="109"/>
      <c r="AG629" s="109"/>
      <c r="AH629" s="109"/>
      <c r="AI629" s="109"/>
      <c r="AJ629" s="109"/>
      <c r="AK629" s="109"/>
      <c r="AL629" s="109"/>
      <c r="AM629" s="109"/>
      <c r="AN629" s="109"/>
      <c r="AO629" s="109"/>
      <c r="AP629" s="109"/>
      <c r="AQ629" s="109"/>
      <c r="AR629" s="109"/>
      <c r="AS629" s="109"/>
      <c r="AT629" s="109"/>
      <c r="AU629" s="109"/>
      <c r="AV629" s="109"/>
      <c r="AW629" s="109"/>
      <c r="AX629" s="109"/>
      <c r="AY629" s="109"/>
      <c r="AZ629" s="109"/>
      <c r="BA629" s="109"/>
      <c r="BB629" s="109"/>
      <c r="BC629" s="109"/>
      <c r="BD629" s="109"/>
      <c r="BE629" s="109"/>
      <c r="BF629" s="109"/>
      <c r="BG629" s="109"/>
      <c r="BH629" s="109"/>
      <c r="BI629" s="109"/>
      <c r="BJ629" s="109"/>
      <c r="BK629" s="109"/>
      <c r="BL629" s="109"/>
      <c r="BM629" s="109"/>
      <c r="BN629" s="109"/>
      <c r="BO629" s="109"/>
      <c r="BP629" s="109"/>
      <c r="BQ629" s="109"/>
      <c r="BR629" s="109"/>
      <c r="BS629" s="109"/>
      <c r="BT629" s="109"/>
      <c r="BU629" s="109"/>
    </row>
    <row r="630" ht="15.75" customHeight="1">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10"/>
      <c r="X630" s="109"/>
      <c r="Y630" s="109"/>
      <c r="Z630" s="109"/>
      <c r="AA630" s="109"/>
      <c r="AB630" s="109"/>
      <c r="AC630" s="109"/>
      <c r="AD630" s="109"/>
      <c r="AE630" s="109"/>
      <c r="AF630" s="109"/>
      <c r="AG630" s="109"/>
      <c r="AH630" s="109"/>
      <c r="AI630" s="109"/>
      <c r="AJ630" s="109"/>
      <c r="AK630" s="109"/>
      <c r="AL630" s="109"/>
      <c r="AM630" s="109"/>
      <c r="AN630" s="109"/>
      <c r="AO630" s="109"/>
      <c r="AP630" s="109"/>
      <c r="AQ630" s="109"/>
      <c r="AR630" s="109"/>
      <c r="AS630" s="109"/>
      <c r="AT630" s="109"/>
      <c r="AU630" s="109"/>
      <c r="AV630" s="109"/>
      <c r="AW630" s="109"/>
      <c r="AX630" s="109"/>
      <c r="AY630" s="109"/>
      <c r="AZ630" s="109"/>
      <c r="BA630" s="109"/>
      <c r="BB630" s="109"/>
      <c r="BC630" s="109"/>
      <c r="BD630" s="109"/>
      <c r="BE630" s="109"/>
      <c r="BF630" s="109"/>
      <c r="BG630" s="109"/>
      <c r="BH630" s="109"/>
      <c r="BI630" s="109"/>
      <c r="BJ630" s="109"/>
      <c r="BK630" s="109"/>
      <c r="BL630" s="109"/>
      <c r="BM630" s="109"/>
      <c r="BN630" s="109"/>
      <c r="BO630" s="109"/>
      <c r="BP630" s="109"/>
      <c r="BQ630" s="109"/>
      <c r="BR630" s="109"/>
      <c r="BS630" s="109"/>
      <c r="BT630" s="109"/>
      <c r="BU630" s="109"/>
    </row>
    <row r="631" ht="15.75" customHeight="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10"/>
      <c r="X631" s="109"/>
      <c r="Y631" s="109"/>
      <c r="Z631" s="109"/>
      <c r="AA631" s="109"/>
      <c r="AB631" s="109"/>
      <c r="AC631" s="109"/>
      <c r="AD631" s="109"/>
      <c r="AE631" s="109"/>
      <c r="AF631" s="109"/>
      <c r="AG631" s="109"/>
      <c r="AH631" s="109"/>
      <c r="AI631" s="109"/>
      <c r="AJ631" s="109"/>
      <c r="AK631" s="109"/>
      <c r="AL631" s="109"/>
      <c r="AM631" s="109"/>
      <c r="AN631" s="109"/>
      <c r="AO631" s="109"/>
      <c r="AP631" s="109"/>
      <c r="AQ631" s="109"/>
      <c r="AR631" s="109"/>
      <c r="AS631" s="109"/>
      <c r="AT631" s="109"/>
      <c r="AU631" s="109"/>
      <c r="AV631" s="109"/>
      <c r="AW631" s="109"/>
      <c r="AX631" s="109"/>
      <c r="AY631" s="109"/>
      <c r="AZ631" s="109"/>
      <c r="BA631" s="109"/>
      <c r="BB631" s="109"/>
      <c r="BC631" s="109"/>
      <c r="BD631" s="109"/>
      <c r="BE631" s="109"/>
      <c r="BF631" s="109"/>
      <c r="BG631" s="109"/>
      <c r="BH631" s="109"/>
      <c r="BI631" s="109"/>
      <c r="BJ631" s="109"/>
      <c r="BK631" s="109"/>
      <c r="BL631" s="109"/>
      <c r="BM631" s="109"/>
      <c r="BN631" s="109"/>
      <c r="BO631" s="109"/>
      <c r="BP631" s="109"/>
      <c r="BQ631" s="109"/>
      <c r="BR631" s="109"/>
      <c r="BS631" s="109"/>
      <c r="BT631" s="109"/>
      <c r="BU631" s="109"/>
    </row>
    <row r="632" ht="15.75" customHeight="1">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10"/>
      <c r="X632" s="109"/>
      <c r="Y632" s="109"/>
      <c r="Z632" s="109"/>
      <c r="AA632" s="109"/>
      <c r="AB632" s="109"/>
      <c r="AC632" s="109"/>
      <c r="AD632" s="109"/>
      <c r="AE632" s="109"/>
      <c r="AF632" s="109"/>
      <c r="AG632" s="109"/>
      <c r="AH632" s="109"/>
      <c r="AI632" s="109"/>
      <c r="AJ632" s="109"/>
      <c r="AK632" s="109"/>
      <c r="AL632" s="109"/>
      <c r="AM632" s="109"/>
      <c r="AN632" s="109"/>
      <c r="AO632" s="109"/>
      <c r="AP632" s="109"/>
      <c r="AQ632" s="109"/>
      <c r="AR632" s="109"/>
      <c r="AS632" s="109"/>
      <c r="AT632" s="109"/>
      <c r="AU632" s="109"/>
      <c r="AV632" s="109"/>
      <c r="AW632" s="109"/>
      <c r="AX632" s="109"/>
      <c r="AY632" s="109"/>
      <c r="AZ632" s="109"/>
      <c r="BA632" s="109"/>
      <c r="BB632" s="109"/>
      <c r="BC632" s="109"/>
      <c r="BD632" s="109"/>
      <c r="BE632" s="109"/>
      <c r="BF632" s="109"/>
      <c r="BG632" s="109"/>
      <c r="BH632" s="109"/>
      <c r="BI632" s="109"/>
      <c r="BJ632" s="109"/>
      <c r="BK632" s="109"/>
      <c r="BL632" s="109"/>
      <c r="BM632" s="109"/>
      <c r="BN632" s="109"/>
      <c r="BO632" s="109"/>
      <c r="BP632" s="109"/>
      <c r="BQ632" s="109"/>
      <c r="BR632" s="109"/>
      <c r="BS632" s="109"/>
      <c r="BT632" s="109"/>
      <c r="BU632" s="109"/>
    </row>
    <row r="633" ht="15.75" customHeight="1">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10"/>
      <c r="X633" s="109"/>
      <c r="Y633" s="109"/>
      <c r="Z633" s="109"/>
      <c r="AA633" s="109"/>
      <c r="AB633" s="109"/>
      <c r="AC633" s="109"/>
      <c r="AD633" s="109"/>
      <c r="AE633" s="109"/>
      <c r="AF633" s="109"/>
      <c r="AG633" s="109"/>
      <c r="AH633" s="109"/>
      <c r="AI633" s="109"/>
      <c r="AJ633" s="109"/>
      <c r="AK633" s="109"/>
      <c r="AL633" s="109"/>
      <c r="AM633" s="109"/>
      <c r="AN633" s="109"/>
      <c r="AO633" s="109"/>
      <c r="AP633" s="109"/>
      <c r="AQ633" s="109"/>
      <c r="AR633" s="109"/>
      <c r="AS633" s="109"/>
      <c r="AT633" s="109"/>
      <c r="AU633" s="109"/>
      <c r="AV633" s="109"/>
      <c r="AW633" s="109"/>
      <c r="AX633" s="109"/>
      <c r="AY633" s="109"/>
      <c r="AZ633" s="109"/>
      <c r="BA633" s="109"/>
      <c r="BB633" s="109"/>
      <c r="BC633" s="109"/>
      <c r="BD633" s="109"/>
      <c r="BE633" s="109"/>
      <c r="BF633" s="109"/>
      <c r="BG633" s="109"/>
      <c r="BH633" s="109"/>
      <c r="BI633" s="109"/>
      <c r="BJ633" s="109"/>
      <c r="BK633" s="109"/>
      <c r="BL633" s="109"/>
      <c r="BM633" s="109"/>
      <c r="BN633" s="109"/>
      <c r="BO633" s="109"/>
      <c r="BP633" s="109"/>
      <c r="BQ633" s="109"/>
      <c r="BR633" s="109"/>
      <c r="BS633" s="109"/>
      <c r="BT633" s="109"/>
      <c r="BU633" s="109"/>
    </row>
    <row r="634" ht="15.75" customHeight="1">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10"/>
      <c r="X634" s="109"/>
      <c r="Y634" s="109"/>
      <c r="Z634" s="109"/>
      <c r="AA634" s="109"/>
      <c r="AB634" s="109"/>
      <c r="AC634" s="109"/>
      <c r="AD634" s="109"/>
      <c r="AE634" s="109"/>
      <c r="AF634" s="109"/>
      <c r="AG634" s="109"/>
      <c r="AH634" s="109"/>
      <c r="AI634" s="109"/>
      <c r="AJ634" s="109"/>
      <c r="AK634" s="109"/>
      <c r="AL634" s="109"/>
      <c r="AM634" s="109"/>
      <c r="AN634" s="109"/>
      <c r="AO634" s="109"/>
      <c r="AP634" s="109"/>
      <c r="AQ634" s="109"/>
      <c r="AR634" s="109"/>
      <c r="AS634" s="109"/>
      <c r="AT634" s="109"/>
      <c r="AU634" s="109"/>
      <c r="AV634" s="109"/>
      <c r="AW634" s="109"/>
      <c r="AX634" s="109"/>
      <c r="AY634" s="109"/>
      <c r="AZ634" s="109"/>
      <c r="BA634" s="109"/>
      <c r="BB634" s="109"/>
      <c r="BC634" s="109"/>
      <c r="BD634" s="109"/>
      <c r="BE634" s="109"/>
      <c r="BF634" s="109"/>
      <c r="BG634" s="109"/>
      <c r="BH634" s="109"/>
      <c r="BI634" s="109"/>
      <c r="BJ634" s="109"/>
      <c r="BK634" s="109"/>
      <c r="BL634" s="109"/>
      <c r="BM634" s="109"/>
      <c r="BN634" s="109"/>
      <c r="BO634" s="109"/>
      <c r="BP634" s="109"/>
      <c r="BQ634" s="109"/>
      <c r="BR634" s="109"/>
      <c r="BS634" s="109"/>
      <c r="BT634" s="109"/>
      <c r="BU634" s="109"/>
    </row>
    <row r="635" ht="15.75" customHeight="1">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10"/>
      <c r="X635" s="109"/>
      <c r="Y635" s="109"/>
      <c r="Z635" s="109"/>
      <c r="AA635" s="109"/>
      <c r="AB635" s="109"/>
      <c r="AC635" s="109"/>
      <c r="AD635" s="109"/>
      <c r="AE635" s="109"/>
      <c r="AF635" s="109"/>
      <c r="AG635" s="109"/>
      <c r="AH635" s="109"/>
      <c r="AI635" s="109"/>
      <c r="AJ635" s="109"/>
      <c r="AK635" s="109"/>
      <c r="AL635" s="109"/>
      <c r="AM635" s="109"/>
      <c r="AN635" s="109"/>
      <c r="AO635" s="109"/>
      <c r="AP635" s="109"/>
      <c r="AQ635" s="109"/>
      <c r="AR635" s="109"/>
      <c r="AS635" s="109"/>
      <c r="AT635" s="109"/>
      <c r="AU635" s="109"/>
      <c r="AV635" s="109"/>
      <c r="AW635" s="109"/>
      <c r="AX635" s="109"/>
      <c r="AY635" s="109"/>
      <c r="AZ635" s="109"/>
      <c r="BA635" s="109"/>
      <c r="BB635" s="109"/>
      <c r="BC635" s="109"/>
      <c r="BD635" s="109"/>
      <c r="BE635" s="109"/>
      <c r="BF635" s="109"/>
      <c r="BG635" s="109"/>
      <c r="BH635" s="109"/>
      <c r="BI635" s="109"/>
      <c r="BJ635" s="109"/>
      <c r="BK635" s="109"/>
      <c r="BL635" s="109"/>
      <c r="BM635" s="109"/>
      <c r="BN635" s="109"/>
      <c r="BO635" s="109"/>
      <c r="BP635" s="109"/>
      <c r="BQ635" s="109"/>
      <c r="BR635" s="109"/>
      <c r="BS635" s="109"/>
      <c r="BT635" s="109"/>
      <c r="BU635" s="109"/>
    </row>
    <row r="636" ht="15.75" customHeight="1">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10"/>
      <c r="X636" s="109"/>
      <c r="Y636" s="109"/>
      <c r="Z636" s="109"/>
      <c r="AA636" s="109"/>
      <c r="AB636" s="109"/>
      <c r="AC636" s="109"/>
      <c r="AD636" s="109"/>
      <c r="AE636" s="109"/>
      <c r="AF636" s="109"/>
      <c r="AG636" s="109"/>
      <c r="AH636" s="109"/>
      <c r="AI636" s="109"/>
      <c r="AJ636" s="109"/>
      <c r="AK636" s="109"/>
      <c r="AL636" s="109"/>
      <c r="AM636" s="109"/>
      <c r="AN636" s="109"/>
      <c r="AO636" s="109"/>
      <c r="AP636" s="109"/>
      <c r="AQ636" s="109"/>
      <c r="AR636" s="109"/>
      <c r="AS636" s="109"/>
      <c r="AT636" s="109"/>
      <c r="AU636" s="109"/>
      <c r="AV636" s="109"/>
      <c r="AW636" s="109"/>
      <c r="AX636" s="109"/>
      <c r="AY636" s="109"/>
      <c r="AZ636" s="109"/>
      <c r="BA636" s="109"/>
      <c r="BB636" s="109"/>
      <c r="BC636" s="109"/>
      <c r="BD636" s="109"/>
      <c r="BE636" s="109"/>
      <c r="BF636" s="109"/>
      <c r="BG636" s="109"/>
      <c r="BH636" s="109"/>
      <c r="BI636" s="109"/>
      <c r="BJ636" s="109"/>
      <c r="BK636" s="109"/>
      <c r="BL636" s="109"/>
      <c r="BM636" s="109"/>
      <c r="BN636" s="109"/>
      <c r="BO636" s="109"/>
      <c r="BP636" s="109"/>
      <c r="BQ636" s="109"/>
      <c r="BR636" s="109"/>
      <c r="BS636" s="109"/>
      <c r="BT636" s="109"/>
      <c r="BU636" s="109"/>
    </row>
    <row r="637" ht="15.75" customHeight="1">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10"/>
      <c r="X637" s="109"/>
      <c r="Y637" s="109"/>
      <c r="Z637" s="109"/>
      <c r="AA637" s="109"/>
      <c r="AB637" s="109"/>
      <c r="AC637" s="109"/>
      <c r="AD637" s="109"/>
      <c r="AE637" s="109"/>
      <c r="AF637" s="109"/>
      <c r="AG637" s="109"/>
      <c r="AH637" s="109"/>
      <c r="AI637" s="109"/>
      <c r="AJ637" s="109"/>
      <c r="AK637" s="109"/>
      <c r="AL637" s="109"/>
      <c r="AM637" s="109"/>
      <c r="AN637" s="109"/>
      <c r="AO637" s="109"/>
      <c r="AP637" s="109"/>
      <c r="AQ637" s="109"/>
      <c r="AR637" s="109"/>
      <c r="AS637" s="109"/>
      <c r="AT637" s="109"/>
      <c r="AU637" s="109"/>
      <c r="AV637" s="109"/>
      <c r="AW637" s="109"/>
      <c r="AX637" s="109"/>
      <c r="AY637" s="109"/>
      <c r="AZ637" s="109"/>
      <c r="BA637" s="109"/>
      <c r="BB637" s="109"/>
      <c r="BC637" s="109"/>
      <c r="BD637" s="109"/>
      <c r="BE637" s="109"/>
      <c r="BF637" s="109"/>
      <c r="BG637" s="109"/>
      <c r="BH637" s="109"/>
      <c r="BI637" s="109"/>
      <c r="BJ637" s="109"/>
      <c r="BK637" s="109"/>
      <c r="BL637" s="109"/>
      <c r="BM637" s="109"/>
      <c r="BN637" s="109"/>
      <c r="BO637" s="109"/>
      <c r="BP637" s="109"/>
      <c r="BQ637" s="109"/>
      <c r="BR637" s="109"/>
      <c r="BS637" s="109"/>
      <c r="BT637" s="109"/>
      <c r="BU637" s="109"/>
    </row>
    <row r="638" ht="15.75" customHeight="1">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10"/>
      <c r="X638" s="109"/>
      <c r="Y638" s="109"/>
      <c r="Z638" s="109"/>
      <c r="AA638" s="109"/>
      <c r="AB638" s="109"/>
      <c r="AC638" s="109"/>
      <c r="AD638" s="109"/>
      <c r="AE638" s="109"/>
      <c r="AF638" s="109"/>
      <c r="AG638" s="109"/>
      <c r="AH638" s="109"/>
      <c r="AI638" s="109"/>
      <c r="AJ638" s="109"/>
      <c r="AK638" s="109"/>
      <c r="AL638" s="109"/>
      <c r="AM638" s="109"/>
      <c r="AN638" s="109"/>
      <c r="AO638" s="109"/>
      <c r="AP638" s="109"/>
      <c r="AQ638" s="109"/>
      <c r="AR638" s="109"/>
      <c r="AS638" s="109"/>
      <c r="AT638" s="109"/>
      <c r="AU638" s="109"/>
      <c r="AV638" s="109"/>
      <c r="AW638" s="109"/>
      <c r="AX638" s="109"/>
      <c r="AY638" s="109"/>
      <c r="AZ638" s="109"/>
      <c r="BA638" s="109"/>
      <c r="BB638" s="109"/>
      <c r="BC638" s="109"/>
      <c r="BD638" s="109"/>
      <c r="BE638" s="109"/>
      <c r="BF638" s="109"/>
      <c r="BG638" s="109"/>
      <c r="BH638" s="109"/>
      <c r="BI638" s="109"/>
      <c r="BJ638" s="109"/>
      <c r="BK638" s="109"/>
      <c r="BL638" s="109"/>
      <c r="BM638" s="109"/>
      <c r="BN638" s="109"/>
      <c r="BO638" s="109"/>
      <c r="BP638" s="109"/>
      <c r="BQ638" s="109"/>
      <c r="BR638" s="109"/>
      <c r="BS638" s="109"/>
      <c r="BT638" s="109"/>
      <c r="BU638" s="109"/>
    </row>
    <row r="639" ht="15.75" customHeight="1">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10"/>
      <c r="X639" s="109"/>
      <c r="Y639" s="109"/>
      <c r="Z639" s="109"/>
      <c r="AA639" s="109"/>
      <c r="AB639" s="109"/>
      <c r="AC639" s="109"/>
      <c r="AD639" s="109"/>
      <c r="AE639" s="109"/>
      <c r="AF639" s="109"/>
      <c r="AG639" s="109"/>
      <c r="AH639" s="109"/>
      <c r="AI639" s="109"/>
      <c r="AJ639" s="109"/>
      <c r="AK639" s="109"/>
      <c r="AL639" s="109"/>
      <c r="AM639" s="109"/>
      <c r="AN639" s="109"/>
      <c r="AO639" s="109"/>
      <c r="AP639" s="109"/>
      <c r="AQ639" s="109"/>
      <c r="AR639" s="109"/>
      <c r="AS639" s="109"/>
      <c r="AT639" s="109"/>
      <c r="AU639" s="109"/>
      <c r="AV639" s="109"/>
      <c r="AW639" s="109"/>
      <c r="AX639" s="109"/>
      <c r="AY639" s="109"/>
      <c r="AZ639" s="109"/>
      <c r="BA639" s="109"/>
      <c r="BB639" s="109"/>
      <c r="BC639" s="109"/>
      <c r="BD639" s="109"/>
      <c r="BE639" s="109"/>
      <c r="BF639" s="109"/>
      <c r="BG639" s="109"/>
      <c r="BH639" s="109"/>
      <c r="BI639" s="109"/>
      <c r="BJ639" s="109"/>
      <c r="BK639" s="109"/>
      <c r="BL639" s="109"/>
      <c r="BM639" s="109"/>
      <c r="BN639" s="109"/>
      <c r="BO639" s="109"/>
      <c r="BP639" s="109"/>
      <c r="BQ639" s="109"/>
      <c r="BR639" s="109"/>
      <c r="BS639" s="109"/>
      <c r="BT639" s="109"/>
      <c r="BU639" s="109"/>
    </row>
    <row r="640" ht="15.75" customHeight="1">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10"/>
      <c r="X640" s="109"/>
      <c r="Y640" s="109"/>
      <c r="Z640" s="109"/>
      <c r="AA640" s="109"/>
      <c r="AB640" s="109"/>
      <c r="AC640" s="109"/>
      <c r="AD640" s="109"/>
      <c r="AE640" s="109"/>
      <c r="AF640" s="109"/>
      <c r="AG640" s="109"/>
      <c r="AH640" s="109"/>
      <c r="AI640" s="109"/>
      <c r="AJ640" s="109"/>
      <c r="AK640" s="109"/>
      <c r="AL640" s="109"/>
      <c r="AM640" s="109"/>
      <c r="AN640" s="109"/>
      <c r="AO640" s="109"/>
      <c r="AP640" s="109"/>
      <c r="AQ640" s="109"/>
      <c r="AR640" s="109"/>
      <c r="AS640" s="109"/>
      <c r="AT640" s="109"/>
      <c r="AU640" s="109"/>
      <c r="AV640" s="109"/>
      <c r="AW640" s="109"/>
      <c r="AX640" s="109"/>
      <c r="AY640" s="109"/>
      <c r="AZ640" s="109"/>
      <c r="BA640" s="109"/>
      <c r="BB640" s="109"/>
      <c r="BC640" s="109"/>
      <c r="BD640" s="109"/>
      <c r="BE640" s="109"/>
      <c r="BF640" s="109"/>
      <c r="BG640" s="109"/>
      <c r="BH640" s="109"/>
      <c r="BI640" s="109"/>
      <c r="BJ640" s="109"/>
      <c r="BK640" s="109"/>
      <c r="BL640" s="109"/>
      <c r="BM640" s="109"/>
      <c r="BN640" s="109"/>
      <c r="BO640" s="109"/>
      <c r="BP640" s="109"/>
      <c r="BQ640" s="109"/>
      <c r="BR640" s="109"/>
      <c r="BS640" s="109"/>
      <c r="BT640" s="109"/>
      <c r="BU640" s="109"/>
    </row>
    <row r="641" ht="15.75" customHeight="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10"/>
      <c r="X641" s="109"/>
      <c r="Y641" s="109"/>
      <c r="Z641" s="109"/>
      <c r="AA641" s="109"/>
      <c r="AB641" s="109"/>
      <c r="AC641" s="109"/>
      <c r="AD641" s="109"/>
      <c r="AE641" s="109"/>
      <c r="AF641" s="109"/>
      <c r="AG641" s="109"/>
      <c r="AH641" s="109"/>
      <c r="AI641" s="109"/>
      <c r="AJ641" s="109"/>
      <c r="AK641" s="109"/>
      <c r="AL641" s="109"/>
      <c r="AM641" s="109"/>
      <c r="AN641" s="109"/>
      <c r="AO641" s="109"/>
      <c r="AP641" s="109"/>
      <c r="AQ641" s="109"/>
      <c r="AR641" s="109"/>
      <c r="AS641" s="109"/>
      <c r="AT641" s="109"/>
      <c r="AU641" s="109"/>
      <c r="AV641" s="109"/>
      <c r="AW641" s="109"/>
      <c r="AX641" s="109"/>
      <c r="AY641" s="109"/>
      <c r="AZ641" s="109"/>
      <c r="BA641" s="109"/>
      <c r="BB641" s="109"/>
      <c r="BC641" s="109"/>
      <c r="BD641" s="109"/>
      <c r="BE641" s="109"/>
      <c r="BF641" s="109"/>
      <c r="BG641" s="109"/>
      <c r="BH641" s="109"/>
      <c r="BI641" s="109"/>
      <c r="BJ641" s="109"/>
      <c r="BK641" s="109"/>
      <c r="BL641" s="109"/>
      <c r="BM641" s="109"/>
      <c r="BN641" s="109"/>
      <c r="BO641" s="109"/>
      <c r="BP641" s="109"/>
      <c r="BQ641" s="109"/>
      <c r="BR641" s="109"/>
      <c r="BS641" s="109"/>
      <c r="BT641" s="109"/>
      <c r="BU641" s="109"/>
    </row>
    <row r="642" ht="15.75" customHeight="1">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10"/>
      <c r="X642" s="109"/>
      <c r="Y642" s="109"/>
      <c r="Z642" s="109"/>
      <c r="AA642" s="109"/>
      <c r="AB642" s="109"/>
      <c r="AC642" s="109"/>
      <c r="AD642" s="109"/>
      <c r="AE642" s="109"/>
      <c r="AF642" s="109"/>
      <c r="AG642" s="109"/>
      <c r="AH642" s="109"/>
      <c r="AI642" s="109"/>
      <c r="AJ642" s="109"/>
      <c r="AK642" s="109"/>
      <c r="AL642" s="109"/>
      <c r="AM642" s="109"/>
      <c r="AN642" s="109"/>
      <c r="AO642" s="109"/>
      <c r="AP642" s="109"/>
      <c r="AQ642" s="109"/>
      <c r="AR642" s="109"/>
      <c r="AS642" s="109"/>
      <c r="AT642" s="109"/>
      <c r="AU642" s="109"/>
      <c r="AV642" s="109"/>
      <c r="AW642" s="109"/>
      <c r="AX642" s="109"/>
      <c r="AY642" s="109"/>
      <c r="AZ642" s="109"/>
      <c r="BA642" s="109"/>
      <c r="BB642" s="109"/>
      <c r="BC642" s="109"/>
      <c r="BD642" s="109"/>
      <c r="BE642" s="109"/>
      <c r="BF642" s="109"/>
      <c r="BG642" s="109"/>
      <c r="BH642" s="109"/>
      <c r="BI642" s="109"/>
      <c r="BJ642" s="109"/>
      <c r="BK642" s="109"/>
      <c r="BL642" s="109"/>
      <c r="BM642" s="109"/>
      <c r="BN642" s="109"/>
      <c r="BO642" s="109"/>
      <c r="BP642" s="109"/>
      <c r="BQ642" s="109"/>
      <c r="BR642" s="109"/>
      <c r="BS642" s="109"/>
      <c r="BT642" s="109"/>
      <c r="BU642" s="109"/>
    </row>
    <row r="643" ht="15.75" customHeight="1">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10"/>
      <c r="X643" s="109"/>
      <c r="Y643" s="109"/>
      <c r="Z643" s="109"/>
      <c r="AA643" s="109"/>
      <c r="AB643" s="109"/>
      <c r="AC643" s="109"/>
      <c r="AD643" s="109"/>
      <c r="AE643" s="109"/>
      <c r="AF643" s="109"/>
      <c r="AG643" s="109"/>
      <c r="AH643" s="109"/>
      <c r="AI643" s="109"/>
      <c r="AJ643" s="109"/>
      <c r="AK643" s="109"/>
      <c r="AL643" s="109"/>
      <c r="AM643" s="109"/>
      <c r="AN643" s="109"/>
      <c r="AO643" s="109"/>
      <c r="AP643" s="109"/>
      <c r="AQ643" s="109"/>
      <c r="AR643" s="109"/>
      <c r="AS643" s="109"/>
      <c r="AT643" s="109"/>
      <c r="AU643" s="109"/>
      <c r="AV643" s="109"/>
      <c r="AW643" s="109"/>
      <c r="AX643" s="109"/>
      <c r="AY643" s="109"/>
      <c r="AZ643" s="109"/>
      <c r="BA643" s="109"/>
      <c r="BB643" s="109"/>
      <c r="BC643" s="109"/>
      <c r="BD643" s="109"/>
      <c r="BE643" s="109"/>
      <c r="BF643" s="109"/>
      <c r="BG643" s="109"/>
      <c r="BH643" s="109"/>
      <c r="BI643" s="109"/>
      <c r="BJ643" s="109"/>
      <c r="BK643" s="109"/>
      <c r="BL643" s="109"/>
      <c r="BM643" s="109"/>
      <c r="BN643" s="109"/>
      <c r="BO643" s="109"/>
      <c r="BP643" s="109"/>
      <c r="BQ643" s="109"/>
      <c r="BR643" s="109"/>
      <c r="BS643" s="109"/>
      <c r="BT643" s="109"/>
      <c r="BU643" s="109"/>
    </row>
    <row r="644" ht="15.75" customHeight="1">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10"/>
      <c r="X644" s="109"/>
      <c r="Y644" s="109"/>
      <c r="Z644" s="109"/>
      <c r="AA644" s="109"/>
      <c r="AB644" s="109"/>
      <c r="AC644" s="109"/>
      <c r="AD644" s="109"/>
      <c r="AE644" s="109"/>
      <c r="AF644" s="109"/>
      <c r="AG644" s="109"/>
      <c r="AH644" s="109"/>
      <c r="AI644" s="109"/>
      <c r="AJ644" s="109"/>
      <c r="AK644" s="109"/>
      <c r="AL644" s="109"/>
      <c r="AM644" s="109"/>
      <c r="AN644" s="109"/>
      <c r="AO644" s="109"/>
      <c r="AP644" s="109"/>
      <c r="AQ644" s="109"/>
      <c r="AR644" s="109"/>
      <c r="AS644" s="109"/>
      <c r="AT644" s="109"/>
      <c r="AU644" s="109"/>
      <c r="AV644" s="109"/>
      <c r="AW644" s="109"/>
      <c r="AX644" s="109"/>
      <c r="AY644" s="109"/>
      <c r="AZ644" s="109"/>
      <c r="BA644" s="109"/>
      <c r="BB644" s="109"/>
      <c r="BC644" s="109"/>
      <c r="BD644" s="109"/>
      <c r="BE644" s="109"/>
      <c r="BF644" s="109"/>
      <c r="BG644" s="109"/>
      <c r="BH644" s="109"/>
      <c r="BI644" s="109"/>
      <c r="BJ644" s="109"/>
      <c r="BK644" s="109"/>
      <c r="BL644" s="109"/>
      <c r="BM644" s="109"/>
      <c r="BN644" s="109"/>
      <c r="BO644" s="109"/>
      <c r="BP644" s="109"/>
      <c r="BQ644" s="109"/>
      <c r="BR644" s="109"/>
      <c r="BS644" s="109"/>
      <c r="BT644" s="109"/>
      <c r="BU644" s="109"/>
    </row>
    <row r="645" ht="15.75" customHeight="1">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10"/>
      <c r="X645" s="109"/>
      <c r="Y645" s="109"/>
      <c r="Z645" s="109"/>
      <c r="AA645" s="109"/>
      <c r="AB645" s="109"/>
      <c r="AC645" s="109"/>
      <c r="AD645" s="109"/>
      <c r="AE645" s="109"/>
      <c r="AF645" s="109"/>
      <c r="AG645" s="109"/>
      <c r="AH645" s="109"/>
      <c r="AI645" s="109"/>
      <c r="AJ645" s="109"/>
      <c r="AK645" s="109"/>
      <c r="AL645" s="109"/>
      <c r="AM645" s="109"/>
      <c r="AN645" s="109"/>
      <c r="AO645" s="109"/>
      <c r="AP645" s="109"/>
      <c r="AQ645" s="109"/>
      <c r="AR645" s="109"/>
      <c r="AS645" s="109"/>
      <c r="AT645" s="109"/>
      <c r="AU645" s="109"/>
      <c r="AV645" s="109"/>
      <c r="AW645" s="109"/>
      <c r="AX645" s="109"/>
      <c r="AY645" s="109"/>
      <c r="AZ645" s="109"/>
      <c r="BA645" s="109"/>
      <c r="BB645" s="109"/>
      <c r="BC645" s="109"/>
      <c r="BD645" s="109"/>
      <c r="BE645" s="109"/>
      <c r="BF645" s="109"/>
      <c r="BG645" s="109"/>
      <c r="BH645" s="109"/>
      <c r="BI645" s="109"/>
      <c r="BJ645" s="109"/>
      <c r="BK645" s="109"/>
      <c r="BL645" s="109"/>
      <c r="BM645" s="109"/>
      <c r="BN645" s="109"/>
      <c r="BO645" s="109"/>
      <c r="BP645" s="109"/>
      <c r="BQ645" s="109"/>
      <c r="BR645" s="109"/>
      <c r="BS645" s="109"/>
      <c r="BT645" s="109"/>
      <c r="BU645" s="109"/>
    </row>
    <row r="646" ht="15.75" customHeight="1">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10"/>
      <c r="X646" s="109"/>
      <c r="Y646" s="109"/>
      <c r="Z646" s="109"/>
      <c r="AA646" s="109"/>
      <c r="AB646" s="109"/>
      <c r="AC646" s="109"/>
      <c r="AD646" s="109"/>
      <c r="AE646" s="109"/>
      <c r="AF646" s="109"/>
      <c r="AG646" s="109"/>
      <c r="AH646" s="109"/>
      <c r="AI646" s="109"/>
      <c r="AJ646" s="109"/>
      <c r="AK646" s="109"/>
      <c r="AL646" s="109"/>
      <c r="AM646" s="109"/>
      <c r="AN646" s="109"/>
      <c r="AO646" s="109"/>
      <c r="AP646" s="109"/>
      <c r="AQ646" s="109"/>
      <c r="AR646" s="109"/>
      <c r="AS646" s="109"/>
      <c r="AT646" s="109"/>
      <c r="AU646" s="109"/>
      <c r="AV646" s="109"/>
      <c r="AW646" s="109"/>
      <c r="AX646" s="109"/>
      <c r="AY646" s="109"/>
      <c r="AZ646" s="109"/>
      <c r="BA646" s="109"/>
      <c r="BB646" s="109"/>
      <c r="BC646" s="109"/>
      <c r="BD646" s="109"/>
      <c r="BE646" s="109"/>
      <c r="BF646" s="109"/>
      <c r="BG646" s="109"/>
      <c r="BH646" s="109"/>
      <c r="BI646" s="109"/>
      <c r="BJ646" s="109"/>
      <c r="BK646" s="109"/>
      <c r="BL646" s="109"/>
      <c r="BM646" s="109"/>
      <c r="BN646" s="109"/>
      <c r="BO646" s="109"/>
      <c r="BP646" s="109"/>
      <c r="BQ646" s="109"/>
      <c r="BR646" s="109"/>
      <c r="BS646" s="109"/>
      <c r="BT646" s="109"/>
      <c r="BU646" s="109"/>
    </row>
    <row r="647" ht="15.75" customHeight="1">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10"/>
      <c r="X647" s="109"/>
      <c r="Y647" s="109"/>
      <c r="Z647" s="109"/>
      <c r="AA647" s="109"/>
      <c r="AB647" s="109"/>
      <c r="AC647" s="109"/>
      <c r="AD647" s="109"/>
      <c r="AE647" s="109"/>
      <c r="AF647" s="109"/>
      <c r="AG647" s="109"/>
      <c r="AH647" s="109"/>
      <c r="AI647" s="109"/>
      <c r="AJ647" s="109"/>
      <c r="AK647" s="109"/>
      <c r="AL647" s="109"/>
      <c r="AM647" s="109"/>
      <c r="AN647" s="109"/>
      <c r="AO647" s="109"/>
      <c r="AP647" s="109"/>
      <c r="AQ647" s="109"/>
      <c r="AR647" s="109"/>
      <c r="AS647" s="109"/>
      <c r="AT647" s="109"/>
      <c r="AU647" s="109"/>
      <c r="AV647" s="109"/>
      <c r="AW647" s="109"/>
      <c r="AX647" s="109"/>
      <c r="AY647" s="109"/>
      <c r="AZ647" s="109"/>
      <c r="BA647" s="109"/>
      <c r="BB647" s="109"/>
      <c r="BC647" s="109"/>
      <c r="BD647" s="109"/>
      <c r="BE647" s="109"/>
      <c r="BF647" s="109"/>
      <c r="BG647" s="109"/>
      <c r="BH647" s="109"/>
      <c r="BI647" s="109"/>
      <c r="BJ647" s="109"/>
      <c r="BK647" s="109"/>
      <c r="BL647" s="109"/>
      <c r="BM647" s="109"/>
      <c r="BN647" s="109"/>
      <c r="BO647" s="109"/>
      <c r="BP647" s="109"/>
      <c r="BQ647" s="109"/>
      <c r="BR647" s="109"/>
      <c r="BS647" s="109"/>
      <c r="BT647" s="109"/>
      <c r="BU647" s="109"/>
    </row>
    <row r="648" ht="15.75" customHeight="1">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10"/>
      <c r="X648" s="109"/>
      <c r="Y648" s="109"/>
      <c r="Z648" s="109"/>
      <c r="AA648" s="109"/>
      <c r="AB648" s="109"/>
      <c r="AC648" s="109"/>
      <c r="AD648" s="109"/>
      <c r="AE648" s="109"/>
      <c r="AF648" s="109"/>
      <c r="AG648" s="109"/>
      <c r="AH648" s="109"/>
      <c r="AI648" s="109"/>
      <c r="AJ648" s="109"/>
      <c r="AK648" s="109"/>
      <c r="AL648" s="109"/>
      <c r="AM648" s="109"/>
      <c r="AN648" s="109"/>
      <c r="AO648" s="109"/>
      <c r="AP648" s="109"/>
      <c r="AQ648" s="109"/>
      <c r="AR648" s="109"/>
      <c r="AS648" s="109"/>
      <c r="AT648" s="109"/>
      <c r="AU648" s="109"/>
      <c r="AV648" s="109"/>
      <c r="AW648" s="109"/>
      <c r="AX648" s="109"/>
      <c r="AY648" s="109"/>
      <c r="AZ648" s="109"/>
      <c r="BA648" s="109"/>
      <c r="BB648" s="109"/>
      <c r="BC648" s="109"/>
      <c r="BD648" s="109"/>
      <c r="BE648" s="109"/>
      <c r="BF648" s="109"/>
      <c r="BG648" s="109"/>
      <c r="BH648" s="109"/>
      <c r="BI648" s="109"/>
      <c r="BJ648" s="109"/>
      <c r="BK648" s="109"/>
      <c r="BL648" s="109"/>
      <c r="BM648" s="109"/>
      <c r="BN648" s="109"/>
      <c r="BO648" s="109"/>
      <c r="BP648" s="109"/>
      <c r="BQ648" s="109"/>
      <c r="BR648" s="109"/>
      <c r="BS648" s="109"/>
      <c r="BT648" s="109"/>
      <c r="BU648" s="109"/>
    </row>
    <row r="649" ht="15.75" customHeight="1">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10"/>
      <c r="X649" s="109"/>
      <c r="Y649" s="109"/>
      <c r="Z649" s="109"/>
      <c r="AA649" s="109"/>
      <c r="AB649" s="109"/>
      <c r="AC649" s="109"/>
      <c r="AD649" s="109"/>
      <c r="AE649" s="109"/>
      <c r="AF649" s="109"/>
      <c r="AG649" s="109"/>
      <c r="AH649" s="109"/>
      <c r="AI649" s="109"/>
      <c r="AJ649" s="109"/>
      <c r="AK649" s="109"/>
      <c r="AL649" s="109"/>
      <c r="AM649" s="109"/>
      <c r="AN649" s="109"/>
      <c r="AO649" s="109"/>
      <c r="AP649" s="109"/>
      <c r="AQ649" s="109"/>
      <c r="AR649" s="109"/>
      <c r="AS649" s="109"/>
      <c r="AT649" s="109"/>
      <c r="AU649" s="109"/>
      <c r="AV649" s="109"/>
      <c r="AW649" s="109"/>
      <c r="AX649" s="109"/>
      <c r="AY649" s="109"/>
      <c r="AZ649" s="109"/>
      <c r="BA649" s="109"/>
      <c r="BB649" s="109"/>
      <c r="BC649" s="109"/>
      <c r="BD649" s="109"/>
      <c r="BE649" s="109"/>
      <c r="BF649" s="109"/>
      <c r="BG649" s="109"/>
      <c r="BH649" s="109"/>
      <c r="BI649" s="109"/>
      <c r="BJ649" s="109"/>
      <c r="BK649" s="109"/>
      <c r="BL649" s="109"/>
      <c r="BM649" s="109"/>
      <c r="BN649" s="109"/>
      <c r="BO649" s="109"/>
      <c r="BP649" s="109"/>
      <c r="BQ649" s="109"/>
      <c r="BR649" s="109"/>
      <c r="BS649" s="109"/>
      <c r="BT649" s="109"/>
      <c r="BU649" s="109"/>
    </row>
    <row r="650" ht="15.75" customHeight="1">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10"/>
      <c r="X650" s="109"/>
      <c r="Y650" s="109"/>
      <c r="Z650" s="109"/>
      <c r="AA650" s="109"/>
      <c r="AB650" s="109"/>
      <c r="AC650" s="109"/>
      <c r="AD650" s="109"/>
      <c r="AE650" s="109"/>
      <c r="AF650" s="109"/>
      <c r="AG650" s="109"/>
      <c r="AH650" s="109"/>
      <c r="AI650" s="109"/>
      <c r="AJ650" s="109"/>
      <c r="AK650" s="109"/>
      <c r="AL650" s="109"/>
      <c r="AM650" s="109"/>
      <c r="AN650" s="109"/>
      <c r="AO650" s="109"/>
      <c r="AP650" s="109"/>
      <c r="AQ650" s="109"/>
      <c r="AR650" s="109"/>
      <c r="AS650" s="109"/>
      <c r="AT650" s="109"/>
      <c r="AU650" s="109"/>
      <c r="AV650" s="109"/>
      <c r="AW650" s="109"/>
      <c r="AX650" s="109"/>
      <c r="AY650" s="109"/>
      <c r="AZ650" s="109"/>
      <c r="BA650" s="109"/>
      <c r="BB650" s="109"/>
      <c r="BC650" s="109"/>
      <c r="BD650" s="109"/>
      <c r="BE650" s="109"/>
      <c r="BF650" s="109"/>
      <c r="BG650" s="109"/>
      <c r="BH650" s="109"/>
      <c r="BI650" s="109"/>
      <c r="BJ650" s="109"/>
      <c r="BK650" s="109"/>
      <c r="BL650" s="109"/>
      <c r="BM650" s="109"/>
      <c r="BN650" s="109"/>
      <c r="BO650" s="109"/>
      <c r="BP650" s="109"/>
      <c r="BQ650" s="109"/>
      <c r="BR650" s="109"/>
      <c r="BS650" s="109"/>
      <c r="BT650" s="109"/>
      <c r="BU650" s="109"/>
    </row>
    <row r="651" ht="15.75" customHeight="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10"/>
      <c r="X651" s="109"/>
      <c r="Y651" s="109"/>
      <c r="Z651" s="109"/>
      <c r="AA651" s="109"/>
      <c r="AB651" s="109"/>
      <c r="AC651" s="109"/>
      <c r="AD651" s="109"/>
      <c r="AE651" s="109"/>
      <c r="AF651" s="109"/>
      <c r="AG651" s="109"/>
      <c r="AH651" s="109"/>
      <c r="AI651" s="109"/>
      <c r="AJ651" s="109"/>
      <c r="AK651" s="109"/>
      <c r="AL651" s="109"/>
      <c r="AM651" s="109"/>
      <c r="AN651" s="109"/>
      <c r="AO651" s="109"/>
      <c r="AP651" s="109"/>
      <c r="AQ651" s="109"/>
      <c r="AR651" s="109"/>
      <c r="AS651" s="109"/>
      <c r="AT651" s="109"/>
      <c r="AU651" s="109"/>
      <c r="AV651" s="109"/>
      <c r="AW651" s="109"/>
      <c r="AX651" s="109"/>
      <c r="AY651" s="109"/>
      <c r="AZ651" s="109"/>
      <c r="BA651" s="109"/>
      <c r="BB651" s="109"/>
      <c r="BC651" s="109"/>
      <c r="BD651" s="109"/>
      <c r="BE651" s="109"/>
      <c r="BF651" s="109"/>
      <c r="BG651" s="109"/>
      <c r="BH651" s="109"/>
      <c r="BI651" s="109"/>
      <c r="BJ651" s="109"/>
      <c r="BK651" s="109"/>
      <c r="BL651" s="109"/>
      <c r="BM651" s="109"/>
      <c r="BN651" s="109"/>
      <c r="BO651" s="109"/>
      <c r="BP651" s="109"/>
      <c r="BQ651" s="109"/>
      <c r="BR651" s="109"/>
      <c r="BS651" s="109"/>
      <c r="BT651" s="109"/>
      <c r="BU651" s="109"/>
    </row>
    <row r="652" ht="15.75" customHeight="1">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10"/>
      <c r="X652" s="109"/>
      <c r="Y652" s="109"/>
      <c r="Z652" s="109"/>
      <c r="AA652" s="109"/>
      <c r="AB652" s="109"/>
      <c r="AC652" s="109"/>
      <c r="AD652" s="109"/>
      <c r="AE652" s="109"/>
      <c r="AF652" s="109"/>
      <c r="AG652" s="109"/>
      <c r="AH652" s="109"/>
      <c r="AI652" s="109"/>
      <c r="AJ652" s="109"/>
      <c r="AK652" s="109"/>
      <c r="AL652" s="109"/>
      <c r="AM652" s="109"/>
      <c r="AN652" s="109"/>
      <c r="AO652" s="109"/>
      <c r="AP652" s="109"/>
      <c r="AQ652" s="109"/>
      <c r="AR652" s="109"/>
      <c r="AS652" s="109"/>
      <c r="AT652" s="109"/>
      <c r="AU652" s="109"/>
      <c r="AV652" s="109"/>
      <c r="AW652" s="109"/>
      <c r="AX652" s="109"/>
      <c r="AY652" s="109"/>
      <c r="AZ652" s="109"/>
      <c r="BA652" s="109"/>
      <c r="BB652" s="109"/>
      <c r="BC652" s="109"/>
      <c r="BD652" s="109"/>
      <c r="BE652" s="109"/>
      <c r="BF652" s="109"/>
      <c r="BG652" s="109"/>
      <c r="BH652" s="109"/>
      <c r="BI652" s="109"/>
      <c r="BJ652" s="109"/>
      <c r="BK652" s="109"/>
      <c r="BL652" s="109"/>
      <c r="BM652" s="109"/>
      <c r="BN652" s="109"/>
      <c r="BO652" s="109"/>
      <c r="BP652" s="109"/>
      <c r="BQ652" s="109"/>
      <c r="BR652" s="109"/>
      <c r="BS652" s="109"/>
      <c r="BT652" s="109"/>
      <c r="BU652" s="109"/>
    </row>
    <row r="653" ht="15.75" customHeight="1">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10"/>
      <c r="X653" s="109"/>
      <c r="Y653" s="109"/>
      <c r="Z653" s="109"/>
      <c r="AA653" s="109"/>
      <c r="AB653" s="109"/>
      <c r="AC653" s="109"/>
      <c r="AD653" s="109"/>
      <c r="AE653" s="109"/>
      <c r="AF653" s="109"/>
      <c r="AG653" s="109"/>
      <c r="AH653" s="109"/>
      <c r="AI653" s="109"/>
      <c r="AJ653" s="109"/>
      <c r="AK653" s="109"/>
      <c r="AL653" s="109"/>
      <c r="AM653" s="109"/>
      <c r="AN653" s="109"/>
      <c r="AO653" s="109"/>
      <c r="AP653" s="109"/>
      <c r="AQ653" s="109"/>
      <c r="AR653" s="109"/>
      <c r="AS653" s="109"/>
      <c r="AT653" s="109"/>
      <c r="AU653" s="109"/>
      <c r="AV653" s="109"/>
      <c r="AW653" s="109"/>
      <c r="AX653" s="109"/>
      <c r="AY653" s="109"/>
      <c r="AZ653" s="109"/>
      <c r="BA653" s="109"/>
      <c r="BB653" s="109"/>
      <c r="BC653" s="109"/>
      <c r="BD653" s="109"/>
      <c r="BE653" s="109"/>
      <c r="BF653" s="109"/>
      <c r="BG653" s="109"/>
      <c r="BH653" s="109"/>
      <c r="BI653" s="109"/>
      <c r="BJ653" s="109"/>
      <c r="BK653" s="109"/>
      <c r="BL653" s="109"/>
      <c r="BM653" s="109"/>
      <c r="BN653" s="109"/>
      <c r="BO653" s="109"/>
      <c r="BP653" s="109"/>
      <c r="BQ653" s="109"/>
      <c r="BR653" s="109"/>
      <c r="BS653" s="109"/>
      <c r="BT653" s="109"/>
      <c r="BU653" s="109"/>
    </row>
    <row r="654" ht="15.75" customHeight="1">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10"/>
      <c r="X654" s="109"/>
      <c r="Y654" s="109"/>
      <c r="Z654" s="109"/>
      <c r="AA654" s="109"/>
      <c r="AB654" s="109"/>
      <c r="AC654" s="109"/>
      <c r="AD654" s="109"/>
      <c r="AE654" s="109"/>
      <c r="AF654" s="109"/>
      <c r="AG654" s="109"/>
      <c r="AH654" s="109"/>
      <c r="AI654" s="109"/>
      <c r="AJ654" s="109"/>
      <c r="AK654" s="109"/>
      <c r="AL654" s="109"/>
      <c r="AM654" s="109"/>
      <c r="AN654" s="109"/>
      <c r="AO654" s="109"/>
      <c r="AP654" s="109"/>
      <c r="AQ654" s="109"/>
      <c r="AR654" s="109"/>
      <c r="AS654" s="109"/>
      <c r="AT654" s="109"/>
      <c r="AU654" s="109"/>
      <c r="AV654" s="109"/>
      <c r="AW654" s="109"/>
      <c r="AX654" s="109"/>
      <c r="AY654" s="109"/>
      <c r="AZ654" s="109"/>
      <c r="BA654" s="109"/>
      <c r="BB654" s="109"/>
      <c r="BC654" s="109"/>
      <c r="BD654" s="109"/>
      <c r="BE654" s="109"/>
      <c r="BF654" s="109"/>
      <c r="BG654" s="109"/>
      <c r="BH654" s="109"/>
      <c r="BI654" s="109"/>
      <c r="BJ654" s="109"/>
      <c r="BK654" s="109"/>
      <c r="BL654" s="109"/>
      <c r="BM654" s="109"/>
      <c r="BN654" s="109"/>
      <c r="BO654" s="109"/>
      <c r="BP654" s="109"/>
      <c r="BQ654" s="109"/>
      <c r="BR654" s="109"/>
      <c r="BS654" s="109"/>
      <c r="BT654" s="109"/>
      <c r="BU654" s="109"/>
    </row>
    <row r="655" ht="15.75" customHeight="1">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10"/>
      <c r="X655" s="109"/>
      <c r="Y655" s="109"/>
      <c r="Z655" s="109"/>
      <c r="AA655" s="109"/>
      <c r="AB655" s="109"/>
      <c r="AC655" s="109"/>
      <c r="AD655" s="109"/>
      <c r="AE655" s="109"/>
      <c r="AF655" s="109"/>
      <c r="AG655" s="109"/>
      <c r="AH655" s="109"/>
      <c r="AI655" s="109"/>
      <c r="AJ655" s="109"/>
      <c r="AK655" s="109"/>
      <c r="AL655" s="109"/>
      <c r="AM655" s="109"/>
      <c r="AN655" s="109"/>
      <c r="AO655" s="109"/>
      <c r="AP655" s="109"/>
      <c r="AQ655" s="109"/>
      <c r="AR655" s="109"/>
      <c r="AS655" s="109"/>
      <c r="AT655" s="109"/>
      <c r="AU655" s="109"/>
      <c r="AV655" s="109"/>
      <c r="AW655" s="109"/>
      <c r="AX655" s="109"/>
      <c r="AY655" s="109"/>
      <c r="AZ655" s="109"/>
      <c r="BA655" s="109"/>
      <c r="BB655" s="109"/>
      <c r="BC655" s="109"/>
      <c r="BD655" s="109"/>
      <c r="BE655" s="109"/>
      <c r="BF655" s="109"/>
      <c r="BG655" s="109"/>
      <c r="BH655" s="109"/>
      <c r="BI655" s="109"/>
      <c r="BJ655" s="109"/>
      <c r="BK655" s="109"/>
      <c r="BL655" s="109"/>
      <c r="BM655" s="109"/>
      <c r="BN655" s="109"/>
      <c r="BO655" s="109"/>
      <c r="BP655" s="109"/>
      <c r="BQ655" s="109"/>
      <c r="BR655" s="109"/>
      <c r="BS655" s="109"/>
      <c r="BT655" s="109"/>
      <c r="BU655" s="109"/>
    </row>
    <row r="656" ht="15.75" customHeight="1">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10"/>
      <c r="X656" s="109"/>
      <c r="Y656" s="109"/>
      <c r="Z656" s="109"/>
      <c r="AA656" s="109"/>
      <c r="AB656" s="109"/>
      <c r="AC656" s="109"/>
      <c r="AD656" s="109"/>
      <c r="AE656" s="109"/>
      <c r="AF656" s="109"/>
      <c r="AG656" s="109"/>
      <c r="AH656" s="109"/>
      <c r="AI656" s="109"/>
      <c r="AJ656" s="109"/>
      <c r="AK656" s="109"/>
      <c r="AL656" s="109"/>
      <c r="AM656" s="109"/>
      <c r="AN656" s="109"/>
      <c r="AO656" s="109"/>
      <c r="AP656" s="109"/>
      <c r="AQ656" s="109"/>
      <c r="AR656" s="109"/>
      <c r="AS656" s="109"/>
      <c r="AT656" s="109"/>
      <c r="AU656" s="109"/>
      <c r="AV656" s="109"/>
      <c r="AW656" s="109"/>
      <c r="AX656" s="109"/>
      <c r="AY656" s="109"/>
      <c r="AZ656" s="109"/>
      <c r="BA656" s="109"/>
      <c r="BB656" s="109"/>
      <c r="BC656" s="109"/>
      <c r="BD656" s="109"/>
      <c r="BE656" s="109"/>
      <c r="BF656" s="109"/>
      <c r="BG656" s="109"/>
      <c r="BH656" s="109"/>
      <c r="BI656" s="109"/>
      <c r="BJ656" s="109"/>
      <c r="BK656" s="109"/>
      <c r="BL656" s="109"/>
      <c r="BM656" s="109"/>
      <c r="BN656" s="109"/>
      <c r="BO656" s="109"/>
      <c r="BP656" s="109"/>
      <c r="BQ656" s="109"/>
      <c r="BR656" s="109"/>
      <c r="BS656" s="109"/>
      <c r="BT656" s="109"/>
      <c r="BU656" s="109"/>
    </row>
    <row r="657" ht="15.75" customHeight="1">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10"/>
      <c r="X657" s="109"/>
      <c r="Y657" s="109"/>
      <c r="Z657" s="109"/>
      <c r="AA657" s="109"/>
      <c r="AB657" s="109"/>
      <c r="AC657" s="109"/>
      <c r="AD657" s="109"/>
      <c r="AE657" s="109"/>
      <c r="AF657" s="109"/>
      <c r="AG657" s="109"/>
      <c r="AH657" s="109"/>
      <c r="AI657" s="109"/>
      <c r="AJ657" s="109"/>
      <c r="AK657" s="109"/>
      <c r="AL657" s="109"/>
      <c r="AM657" s="109"/>
      <c r="AN657" s="109"/>
      <c r="AO657" s="109"/>
      <c r="AP657" s="109"/>
      <c r="AQ657" s="109"/>
      <c r="AR657" s="109"/>
      <c r="AS657" s="109"/>
      <c r="AT657" s="109"/>
      <c r="AU657" s="109"/>
      <c r="AV657" s="109"/>
      <c r="AW657" s="109"/>
      <c r="AX657" s="109"/>
      <c r="AY657" s="109"/>
      <c r="AZ657" s="109"/>
      <c r="BA657" s="109"/>
      <c r="BB657" s="109"/>
      <c r="BC657" s="109"/>
      <c r="BD657" s="109"/>
      <c r="BE657" s="109"/>
      <c r="BF657" s="109"/>
      <c r="BG657" s="109"/>
      <c r="BH657" s="109"/>
      <c r="BI657" s="109"/>
      <c r="BJ657" s="109"/>
      <c r="BK657" s="109"/>
      <c r="BL657" s="109"/>
      <c r="BM657" s="109"/>
      <c r="BN657" s="109"/>
      <c r="BO657" s="109"/>
      <c r="BP657" s="109"/>
      <c r="BQ657" s="109"/>
      <c r="BR657" s="109"/>
      <c r="BS657" s="109"/>
      <c r="BT657" s="109"/>
      <c r="BU657" s="109"/>
    </row>
    <row r="658" ht="15.75" customHeight="1">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10"/>
      <c r="X658" s="109"/>
      <c r="Y658" s="109"/>
      <c r="Z658" s="109"/>
      <c r="AA658" s="109"/>
      <c r="AB658" s="109"/>
      <c r="AC658" s="109"/>
      <c r="AD658" s="109"/>
      <c r="AE658" s="109"/>
      <c r="AF658" s="109"/>
      <c r="AG658" s="109"/>
      <c r="AH658" s="109"/>
      <c r="AI658" s="109"/>
      <c r="AJ658" s="109"/>
      <c r="AK658" s="109"/>
      <c r="AL658" s="109"/>
      <c r="AM658" s="109"/>
      <c r="AN658" s="109"/>
      <c r="AO658" s="109"/>
      <c r="AP658" s="109"/>
      <c r="AQ658" s="109"/>
      <c r="AR658" s="109"/>
      <c r="AS658" s="109"/>
      <c r="AT658" s="109"/>
      <c r="AU658" s="109"/>
      <c r="AV658" s="109"/>
      <c r="AW658" s="109"/>
      <c r="AX658" s="109"/>
      <c r="AY658" s="109"/>
      <c r="AZ658" s="109"/>
      <c r="BA658" s="109"/>
      <c r="BB658" s="109"/>
      <c r="BC658" s="109"/>
      <c r="BD658" s="109"/>
      <c r="BE658" s="109"/>
      <c r="BF658" s="109"/>
      <c r="BG658" s="109"/>
      <c r="BH658" s="109"/>
      <c r="BI658" s="109"/>
      <c r="BJ658" s="109"/>
      <c r="BK658" s="109"/>
      <c r="BL658" s="109"/>
      <c r="BM658" s="109"/>
      <c r="BN658" s="109"/>
      <c r="BO658" s="109"/>
      <c r="BP658" s="109"/>
      <c r="BQ658" s="109"/>
      <c r="BR658" s="109"/>
      <c r="BS658" s="109"/>
      <c r="BT658" s="109"/>
      <c r="BU658" s="109"/>
    </row>
    <row r="659" ht="15.75" customHeight="1">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10"/>
      <c r="X659" s="109"/>
      <c r="Y659" s="109"/>
      <c r="Z659" s="109"/>
      <c r="AA659" s="109"/>
      <c r="AB659" s="109"/>
      <c r="AC659" s="109"/>
      <c r="AD659" s="109"/>
      <c r="AE659" s="109"/>
      <c r="AF659" s="109"/>
      <c r="AG659" s="109"/>
      <c r="AH659" s="109"/>
      <c r="AI659" s="109"/>
      <c r="AJ659" s="109"/>
      <c r="AK659" s="109"/>
      <c r="AL659" s="109"/>
      <c r="AM659" s="109"/>
      <c r="AN659" s="109"/>
      <c r="AO659" s="109"/>
      <c r="AP659" s="109"/>
      <c r="AQ659" s="109"/>
      <c r="AR659" s="109"/>
      <c r="AS659" s="109"/>
      <c r="AT659" s="109"/>
      <c r="AU659" s="109"/>
      <c r="AV659" s="109"/>
      <c r="AW659" s="109"/>
      <c r="AX659" s="109"/>
      <c r="AY659" s="109"/>
      <c r="AZ659" s="109"/>
      <c r="BA659" s="109"/>
      <c r="BB659" s="109"/>
      <c r="BC659" s="109"/>
      <c r="BD659" s="109"/>
      <c r="BE659" s="109"/>
      <c r="BF659" s="109"/>
      <c r="BG659" s="109"/>
      <c r="BH659" s="109"/>
      <c r="BI659" s="109"/>
      <c r="BJ659" s="109"/>
      <c r="BK659" s="109"/>
      <c r="BL659" s="109"/>
      <c r="BM659" s="109"/>
      <c r="BN659" s="109"/>
      <c r="BO659" s="109"/>
      <c r="BP659" s="109"/>
      <c r="BQ659" s="109"/>
      <c r="BR659" s="109"/>
      <c r="BS659" s="109"/>
      <c r="BT659" s="109"/>
      <c r="BU659" s="109"/>
    </row>
    <row r="660" ht="15.75" customHeight="1">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10"/>
      <c r="X660" s="109"/>
      <c r="Y660" s="109"/>
      <c r="Z660" s="109"/>
      <c r="AA660" s="109"/>
      <c r="AB660" s="109"/>
      <c r="AC660" s="109"/>
      <c r="AD660" s="109"/>
      <c r="AE660" s="109"/>
      <c r="AF660" s="109"/>
      <c r="AG660" s="109"/>
      <c r="AH660" s="109"/>
      <c r="AI660" s="109"/>
      <c r="AJ660" s="109"/>
      <c r="AK660" s="109"/>
      <c r="AL660" s="109"/>
      <c r="AM660" s="109"/>
      <c r="AN660" s="109"/>
      <c r="AO660" s="109"/>
      <c r="AP660" s="109"/>
      <c r="AQ660" s="109"/>
      <c r="AR660" s="109"/>
      <c r="AS660" s="109"/>
      <c r="AT660" s="109"/>
      <c r="AU660" s="109"/>
      <c r="AV660" s="109"/>
      <c r="AW660" s="109"/>
      <c r="AX660" s="109"/>
      <c r="AY660" s="109"/>
      <c r="AZ660" s="109"/>
      <c r="BA660" s="109"/>
      <c r="BB660" s="109"/>
      <c r="BC660" s="109"/>
      <c r="BD660" s="109"/>
      <c r="BE660" s="109"/>
      <c r="BF660" s="109"/>
      <c r="BG660" s="109"/>
      <c r="BH660" s="109"/>
      <c r="BI660" s="109"/>
      <c r="BJ660" s="109"/>
      <c r="BK660" s="109"/>
      <c r="BL660" s="109"/>
      <c r="BM660" s="109"/>
      <c r="BN660" s="109"/>
      <c r="BO660" s="109"/>
      <c r="BP660" s="109"/>
      <c r="BQ660" s="109"/>
      <c r="BR660" s="109"/>
      <c r="BS660" s="109"/>
      <c r="BT660" s="109"/>
      <c r="BU660" s="109"/>
    </row>
    <row r="661" ht="15.75" customHeight="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10"/>
      <c r="X661" s="109"/>
      <c r="Y661" s="109"/>
      <c r="Z661" s="109"/>
      <c r="AA661" s="109"/>
      <c r="AB661" s="109"/>
      <c r="AC661" s="109"/>
      <c r="AD661" s="109"/>
      <c r="AE661" s="109"/>
      <c r="AF661" s="109"/>
      <c r="AG661" s="109"/>
      <c r="AH661" s="109"/>
      <c r="AI661" s="109"/>
      <c r="AJ661" s="109"/>
      <c r="AK661" s="109"/>
      <c r="AL661" s="109"/>
      <c r="AM661" s="109"/>
      <c r="AN661" s="109"/>
      <c r="AO661" s="109"/>
      <c r="AP661" s="109"/>
      <c r="AQ661" s="109"/>
      <c r="AR661" s="109"/>
      <c r="AS661" s="109"/>
      <c r="AT661" s="109"/>
      <c r="AU661" s="109"/>
      <c r="AV661" s="109"/>
      <c r="AW661" s="109"/>
      <c r="AX661" s="109"/>
      <c r="AY661" s="109"/>
      <c r="AZ661" s="109"/>
      <c r="BA661" s="109"/>
      <c r="BB661" s="109"/>
      <c r="BC661" s="109"/>
      <c r="BD661" s="109"/>
      <c r="BE661" s="109"/>
      <c r="BF661" s="109"/>
      <c r="BG661" s="109"/>
      <c r="BH661" s="109"/>
      <c r="BI661" s="109"/>
      <c r="BJ661" s="109"/>
      <c r="BK661" s="109"/>
      <c r="BL661" s="109"/>
      <c r="BM661" s="109"/>
      <c r="BN661" s="109"/>
      <c r="BO661" s="109"/>
      <c r="BP661" s="109"/>
      <c r="BQ661" s="109"/>
      <c r="BR661" s="109"/>
      <c r="BS661" s="109"/>
      <c r="BT661" s="109"/>
      <c r="BU661" s="109"/>
    </row>
    <row r="662" ht="15.75" customHeight="1">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10"/>
      <c r="X662" s="109"/>
      <c r="Y662" s="109"/>
      <c r="Z662" s="109"/>
      <c r="AA662" s="109"/>
      <c r="AB662" s="109"/>
      <c r="AC662" s="109"/>
      <c r="AD662" s="109"/>
      <c r="AE662" s="109"/>
      <c r="AF662" s="109"/>
      <c r="AG662" s="109"/>
      <c r="AH662" s="109"/>
      <c r="AI662" s="109"/>
      <c r="AJ662" s="109"/>
      <c r="AK662" s="109"/>
      <c r="AL662" s="109"/>
      <c r="AM662" s="109"/>
      <c r="AN662" s="109"/>
      <c r="AO662" s="109"/>
      <c r="AP662" s="109"/>
      <c r="AQ662" s="109"/>
      <c r="AR662" s="109"/>
      <c r="AS662" s="109"/>
      <c r="AT662" s="109"/>
      <c r="AU662" s="109"/>
      <c r="AV662" s="109"/>
      <c r="AW662" s="109"/>
      <c r="AX662" s="109"/>
      <c r="AY662" s="109"/>
      <c r="AZ662" s="109"/>
      <c r="BA662" s="109"/>
      <c r="BB662" s="109"/>
      <c r="BC662" s="109"/>
      <c r="BD662" s="109"/>
      <c r="BE662" s="109"/>
      <c r="BF662" s="109"/>
      <c r="BG662" s="109"/>
      <c r="BH662" s="109"/>
      <c r="BI662" s="109"/>
      <c r="BJ662" s="109"/>
      <c r="BK662" s="109"/>
      <c r="BL662" s="109"/>
      <c r="BM662" s="109"/>
      <c r="BN662" s="109"/>
      <c r="BO662" s="109"/>
      <c r="BP662" s="109"/>
      <c r="BQ662" s="109"/>
      <c r="BR662" s="109"/>
      <c r="BS662" s="109"/>
      <c r="BT662" s="109"/>
      <c r="BU662" s="109"/>
    </row>
    <row r="663" ht="15.75" customHeight="1">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10"/>
      <c r="X663" s="109"/>
      <c r="Y663" s="109"/>
      <c r="Z663" s="109"/>
      <c r="AA663" s="109"/>
      <c r="AB663" s="109"/>
      <c r="AC663" s="109"/>
      <c r="AD663" s="109"/>
      <c r="AE663" s="109"/>
      <c r="AF663" s="109"/>
      <c r="AG663" s="109"/>
      <c r="AH663" s="109"/>
      <c r="AI663" s="109"/>
      <c r="AJ663" s="109"/>
      <c r="AK663" s="109"/>
      <c r="AL663" s="109"/>
      <c r="AM663" s="109"/>
      <c r="AN663" s="109"/>
      <c r="AO663" s="109"/>
      <c r="AP663" s="109"/>
      <c r="AQ663" s="109"/>
      <c r="AR663" s="109"/>
      <c r="AS663" s="109"/>
      <c r="AT663" s="109"/>
      <c r="AU663" s="109"/>
      <c r="AV663" s="109"/>
      <c r="AW663" s="109"/>
      <c r="AX663" s="109"/>
      <c r="AY663" s="109"/>
      <c r="AZ663" s="109"/>
      <c r="BA663" s="109"/>
      <c r="BB663" s="109"/>
      <c r="BC663" s="109"/>
      <c r="BD663" s="109"/>
      <c r="BE663" s="109"/>
      <c r="BF663" s="109"/>
      <c r="BG663" s="109"/>
      <c r="BH663" s="109"/>
      <c r="BI663" s="109"/>
      <c r="BJ663" s="109"/>
      <c r="BK663" s="109"/>
      <c r="BL663" s="109"/>
      <c r="BM663" s="109"/>
      <c r="BN663" s="109"/>
      <c r="BO663" s="109"/>
      <c r="BP663" s="109"/>
      <c r="BQ663" s="109"/>
      <c r="BR663" s="109"/>
      <c r="BS663" s="109"/>
      <c r="BT663" s="109"/>
      <c r="BU663" s="109"/>
    </row>
    <row r="664" ht="15.75" customHeight="1">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10"/>
      <c r="X664" s="109"/>
      <c r="Y664" s="109"/>
      <c r="Z664" s="109"/>
      <c r="AA664" s="109"/>
      <c r="AB664" s="109"/>
      <c r="AC664" s="109"/>
      <c r="AD664" s="109"/>
      <c r="AE664" s="109"/>
      <c r="AF664" s="109"/>
      <c r="AG664" s="109"/>
      <c r="AH664" s="109"/>
      <c r="AI664" s="109"/>
      <c r="AJ664" s="109"/>
      <c r="AK664" s="109"/>
      <c r="AL664" s="109"/>
      <c r="AM664" s="109"/>
      <c r="AN664" s="109"/>
      <c r="AO664" s="109"/>
      <c r="AP664" s="109"/>
      <c r="AQ664" s="109"/>
      <c r="AR664" s="109"/>
      <c r="AS664" s="109"/>
      <c r="AT664" s="109"/>
      <c r="AU664" s="109"/>
      <c r="AV664" s="109"/>
      <c r="AW664" s="109"/>
      <c r="AX664" s="109"/>
      <c r="AY664" s="109"/>
      <c r="AZ664" s="109"/>
      <c r="BA664" s="109"/>
      <c r="BB664" s="109"/>
      <c r="BC664" s="109"/>
      <c r="BD664" s="109"/>
      <c r="BE664" s="109"/>
      <c r="BF664" s="109"/>
      <c r="BG664" s="109"/>
      <c r="BH664" s="109"/>
      <c r="BI664" s="109"/>
      <c r="BJ664" s="109"/>
      <c r="BK664" s="109"/>
      <c r="BL664" s="109"/>
      <c r="BM664" s="109"/>
      <c r="BN664" s="109"/>
      <c r="BO664" s="109"/>
      <c r="BP664" s="109"/>
      <c r="BQ664" s="109"/>
      <c r="BR664" s="109"/>
      <c r="BS664" s="109"/>
      <c r="BT664" s="109"/>
      <c r="BU664" s="109"/>
    </row>
    <row r="665" ht="15.75" customHeight="1">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10"/>
      <c r="X665" s="109"/>
      <c r="Y665" s="109"/>
      <c r="Z665" s="109"/>
      <c r="AA665" s="109"/>
      <c r="AB665" s="109"/>
      <c r="AC665" s="109"/>
      <c r="AD665" s="109"/>
      <c r="AE665" s="109"/>
      <c r="AF665" s="109"/>
      <c r="AG665" s="109"/>
      <c r="AH665" s="109"/>
      <c r="AI665" s="109"/>
      <c r="AJ665" s="109"/>
      <c r="AK665" s="109"/>
      <c r="AL665" s="109"/>
      <c r="AM665" s="109"/>
      <c r="AN665" s="109"/>
      <c r="AO665" s="109"/>
      <c r="AP665" s="109"/>
      <c r="AQ665" s="109"/>
      <c r="AR665" s="109"/>
      <c r="AS665" s="109"/>
      <c r="AT665" s="109"/>
      <c r="AU665" s="109"/>
      <c r="AV665" s="109"/>
      <c r="AW665" s="109"/>
      <c r="AX665" s="109"/>
      <c r="AY665" s="109"/>
      <c r="AZ665" s="109"/>
      <c r="BA665" s="109"/>
      <c r="BB665" s="109"/>
      <c r="BC665" s="109"/>
      <c r="BD665" s="109"/>
      <c r="BE665" s="109"/>
      <c r="BF665" s="109"/>
      <c r="BG665" s="109"/>
      <c r="BH665" s="109"/>
      <c r="BI665" s="109"/>
      <c r="BJ665" s="109"/>
      <c r="BK665" s="109"/>
      <c r="BL665" s="109"/>
      <c r="BM665" s="109"/>
      <c r="BN665" s="109"/>
      <c r="BO665" s="109"/>
      <c r="BP665" s="109"/>
      <c r="BQ665" s="109"/>
      <c r="BR665" s="109"/>
      <c r="BS665" s="109"/>
      <c r="BT665" s="109"/>
      <c r="BU665" s="109"/>
    </row>
    <row r="666" ht="15.75" customHeight="1">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10"/>
      <c r="X666" s="109"/>
      <c r="Y666" s="109"/>
      <c r="Z666" s="109"/>
      <c r="AA666" s="109"/>
      <c r="AB666" s="109"/>
      <c r="AC666" s="109"/>
      <c r="AD666" s="109"/>
      <c r="AE666" s="109"/>
      <c r="AF666" s="109"/>
      <c r="AG666" s="109"/>
      <c r="AH666" s="109"/>
      <c r="AI666" s="109"/>
      <c r="AJ666" s="109"/>
      <c r="AK666" s="109"/>
      <c r="AL666" s="109"/>
      <c r="AM666" s="109"/>
      <c r="AN666" s="109"/>
      <c r="AO666" s="109"/>
      <c r="AP666" s="109"/>
      <c r="AQ666" s="109"/>
      <c r="AR666" s="109"/>
      <c r="AS666" s="109"/>
      <c r="AT666" s="109"/>
      <c r="AU666" s="109"/>
      <c r="AV666" s="109"/>
      <c r="AW666" s="109"/>
      <c r="AX666" s="109"/>
      <c r="AY666" s="109"/>
      <c r="AZ666" s="109"/>
      <c r="BA666" s="109"/>
      <c r="BB666" s="109"/>
      <c r="BC666" s="109"/>
      <c r="BD666" s="109"/>
      <c r="BE666" s="109"/>
      <c r="BF666" s="109"/>
      <c r="BG666" s="109"/>
      <c r="BH666" s="109"/>
      <c r="BI666" s="109"/>
      <c r="BJ666" s="109"/>
      <c r="BK666" s="109"/>
      <c r="BL666" s="109"/>
      <c r="BM666" s="109"/>
      <c r="BN666" s="109"/>
      <c r="BO666" s="109"/>
      <c r="BP666" s="109"/>
      <c r="BQ666" s="109"/>
      <c r="BR666" s="109"/>
      <c r="BS666" s="109"/>
      <c r="BT666" s="109"/>
      <c r="BU666" s="109"/>
    </row>
    <row r="667" ht="15.75" customHeight="1">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10"/>
      <c r="X667" s="109"/>
      <c r="Y667" s="109"/>
      <c r="Z667" s="109"/>
      <c r="AA667" s="109"/>
      <c r="AB667" s="109"/>
      <c r="AC667" s="109"/>
      <c r="AD667" s="109"/>
      <c r="AE667" s="109"/>
      <c r="AF667" s="109"/>
      <c r="AG667" s="109"/>
      <c r="AH667" s="109"/>
      <c r="AI667" s="109"/>
      <c r="AJ667" s="109"/>
      <c r="AK667" s="109"/>
      <c r="AL667" s="109"/>
      <c r="AM667" s="109"/>
      <c r="AN667" s="109"/>
      <c r="AO667" s="109"/>
      <c r="AP667" s="109"/>
      <c r="AQ667" s="109"/>
      <c r="AR667" s="109"/>
      <c r="AS667" s="109"/>
      <c r="AT667" s="109"/>
      <c r="AU667" s="109"/>
      <c r="AV667" s="109"/>
      <c r="AW667" s="109"/>
      <c r="AX667" s="109"/>
      <c r="AY667" s="109"/>
      <c r="AZ667" s="109"/>
      <c r="BA667" s="109"/>
      <c r="BB667" s="109"/>
      <c r="BC667" s="109"/>
      <c r="BD667" s="109"/>
      <c r="BE667" s="109"/>
      <c r="BF667" s="109"/>
      <c r="BG667" s="109"/>
      <c r="BH667" s="109"/>
      <c r="BI667" s="109"/>
      <c r="BJ667" s="109"/>
      <c r="BK667" s="109"/>
      <c r="BL667" s="109"/>
      <c r="BM667" s="109"/>
      <c r="BN667" s="109"/>
      <c r="BO667" s="109"/>
      <c r="BP667" s="109"/>
      <c r="BQ667" s="109"/>
      <c r="BR667" s="109"/>
      <c r="BS667" s="109"/>
      <c r="BT667" s="109"/>
      <c r="BU667" s="109"/>
    </row>
    <row r="668" ht="15.75" customHeight="1">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10"/>
      <c r="X668" s="109"/>
      <c r="Y668" s="109"/>
      <c r="Z668" s="109"/>
      <c r="AA668" s="109"/>
      <c r="AB668" s="109"/>
      <c r="AC668" s="109"/>
      <c r="AD668" s="109"/>
      <c r="AE668" s="109"/>
      <c r="AF668" s="109"/>
      <c r="AG668" s="109"/>
      <c r="AH668" s="109"/>
      <c r="AI668" s="109"/>
      <c r="AJ668" s="109"/>
      <c r="AK668" s="109"/>
      <c r="AL668" s="109"/>
      <c r="AM668" s="109"/>
      <c r="AN668" s="109"/>
      <c r="AO668" s="109"/>
      <c r="AP668" s="109"/>
      <c r="AQ668" s="109"/>
      <c r="AR668" s="109"/>
      <c r="AS668" s="109"/>
      <c r="AT668" s="109"/>
      <c r="AU668" s="109"/>
      <c r="AV668" s="109"/>
      <c r="AW668" s="109"/>
      <c r="AX668" s="109"/>
      <c r="AY668" s="109"/>
      <c r="AZ668" s="109"/>
      <c r="BA668" s="109"/>
      <c r="BB668" s="109"/>
      <c r="BC668" s="109"/>
      <c r="BD668" s="109"/>
      <c r="BE668" s="109"/>
      <c r="BF668" s="109"/>
      <c r="BG668" s="109"/>
      <c r="BH668" s="109"/>
      <c r="BI668" s="109"/>
      <c r="BJ668" s="109"/>
      <c r="BK668" s="109"/>
      <c r="BL668" s="109"/>
      <c r="BM668" s="109"/>
      <c r="BN668" s="109"/>
      <c r="BO668" s="109"/>
      <c r="BP668" s="109"/>
      <c r="BQ668" s="109"/>
      <c r="BR668" s="109"/>
      <c r="BS668" s="109"/>
      <c r="BT668" s="109"/>
      <c r="BU668" s="109"/>
    </row>
    <row r="669" ht="15.75" customHeight="1">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10"/>
      <c r="X669" s="109"/>
      <c r="Y669" s="109"/>
      <c r="Z669" s="109"/>
      <c r="AA669" s="109"/>
      <c r="AB669" s="109"/>
      <c r="AC669" s="109"/>
      <c r="AD669" s="109"/>
      <c r="AE669" s="109"/>
      <c r="AF669" s="109"/>
      <c r="AG669" s="109"/>
      <c r="AH669" s="109"/>
      <c r="AI669" s="109"/>
      <c r="AJ669" s="109"/>
      <c r="AK669" s="109"/>
      <c r="AL669" s="109"/>
      <c r="AM669" s="109"/>
      <c r="AN669" s="109"/>
      <c r="AO669" s="109"/>
      <c r="AP669" s="109"/>
      <c r="AQ669" s="109"/>
      <c r="AR669" s="109"/>
      <c r="AS669" s="109"/>
      <c r="AT669" s="109"/>
      <c r="AU669" s="109"/>
      <c r="AV669" s="109"/>
      <c r="AW669" s="109"/>
      <c r="AX669" s="109"/>
      <c r="AY669" s="109"/>
      <c r="AZ669" s="109"/>
      <c r="BA669" s="109"/>
      <c r="BB669" s="109"/>
      <c r="BC669" s="109"/>
      <c r="BD669" s="109"/>
      <c r="BE669" s="109"/>
      <c r="BF669" s="109"/>
      <c r="BG669" s="109"/>
      <c r="BH669" s="109"/>
      <c r="BI669" s="109"/>
      <c r="BJ669" s="109"/>
      <c r="BK669" s="109"/>
      <c r="BL669" s="109"/>
      <c r="BM669" s="109"/>
      <c r="BN669" s="109"/>
      <c r="BO669" s="109"/>
      <c r="BP669" s="109"/>
      <c r="BQ669" s="109"/>
      <c r="BR669" s="109"/>
      <c r="BS669" s="109"/>
      <c r="BT669" s="109"/>
      <c r="BU669" s="109"/>
    </row>
    <row r="670" ht="15.75" customHeight="1">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10"/>
      <c r="X670" s="109"/>
      <c r="Y670" s="109"/>
      <c r="Z670" s="109"/>
      <c r="AA670" s="109"/>
      <c r="AB670" s="109"/>
      <c r="AC670" s="109"/>
      <c r="AD670" s="109"/>
      <c r="AE670" s="109"/>
      <c r="AF670" s="109"/>
      <c r="AG670" s="109"/>
      <c r="AH670" s="109"/>
      <c r="AI670" s="109"/>
      <c r="AJ670" s="109"/>
      <c r="AK670" s="109"/>
      <c r="AL670" s="109"/>
      <c r="AM670" s="109"/>
      <c r="AN670" s="109"/>
      <c r="AO670" s="109"/>
      <c r="AP670" s="109"/>
      <c r="AQ670" s="109"/>
      <c r="AR670" s="109"/>
      <c r="AS670" s="109"/>
      <c r="AT670" s="109"/>
      <c r="AU670" s="109"/>
      <c r="AV670" s="109"/>
      <c r="AW670" s="109"/>
      <c r="AX670" s="109"/>
      <c r="AY670" s="109"/>
      <c r="AZ670" s="109"/>
      <c r="BA670" s="109"/>
      <c r="BB670" s="109"/>
      <c r="BC670" s="109"/>
      <c r="BD670" s="109"/>
      <c r="BE670" s="109"/>
      <c r="BF670" s="109"/>
      <c r="BG670" s="109"/>
      <c r="BH670" s="109"/>
      <c r="BI670" s="109"/>
      <c r="BJ670" s="109"/>
      <c r="BK670" s="109"/>
      <c r="BL670" s="109"/>
      <c r="BM670" s="109"/>
      <c r="BN670" s="109"/>
      <c r="BO670" s="109"/>
      <c r="BP670" s="109"/>
      <c r="BQ670" s="109"/>
      <c r="BR670" s="109"/>
      <c r="BS670" s="109"/>
      <c r="BT670" s="109"/>
      <c r="BU670" s="109"/>
    </row>
    <row r="671" ht="15.75" customHeight="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10"/>
      <c r="X671" s="109"/>
      <c r="Y671" s="109"/>
      <c r="Z671" s="109"/>
      <c r="AA671" s="109"/>
      <c r="AB671" s="109"/>
      <c r="AC671" s="109"/>
      <c r="AD671" s="109"/>
      <c r="AE671" s="109"/>
      <c r="AF671" s="109"/>
      <c r="AG671" s="109"/>
      <c r="AH671" s="109"/>
      <c r="AI671" s="109"/>
      <c r="AJ671" s="109"/>
      <c r="AK671" s="109"/>
      <c r="AL671" s="109"/>
      <c r="AM671" s="109"/>
      <c r="AN671" s="109"/>
      <c r="AO671" s="109"/>
      <c r="AP671" s="109"/>
      <c r="AQ671" s="109"/>
      <c r="AR671" s="109"/>
      <c r="AS671" s="109"/>
      <c r="AT671" s="109"/>
      <c r="AU671" s="109"/>
      <c r="AV671" s="109"/>
      <c r="AW671" s="109"/>
      <c r="AX671" s="109"/>
      <c r="AY671" s="109"/>
      <c r="AZ671" s="109"/>
      <c r="BA671" s="109"/>
      <c r="BB671" s="109"/>
      <c r="BC671" s="109"/>
      <c r="BD671" s="109"/>
      <c r="BE671" s="109"/>
      <c r="BF671" s="109"/>
      <c r="BG671" s="109"/>
      <c r="BH671" s="109"/>
      <c r="BI671" s="109"/>
      <c r="BJ671" s="109"/>
      <c r="BK671" s="109"/>
      <c r="BL671" s="109"/>
      <c r="BM671" s="109"/>
      <c r="BN671" s="109"/>
      <c r="BO671" s="109"/>
      <c r="BP671" s="109"/>
      <c r="BQ671" s="109"/>
      <c r="BR671" s="109"/>
      <c r="BS671" s="109"/>
      <c r="BT671" s="109"/>
      <c r="BU671" s="109"/>
    </row>
    <row r="672" ht="15.75" customHeight="1">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10"/>
      <c r="X672" s="109"/>
      <c r="Y672" s="109"/>
      <c r="Z672" s="109"/>
      <c r="AA672" s="109"/>
      <c r="AB672" s="109"/>
      <c r="AC672" s="109"/>
      <c r="AD672" s="109"/>
      <c r="AE672" s="109"/>
      <c r="AF672" s="109"/>
      <c r="AG672" s="109"/>
      <c r="AH672" s="109"/>
      <c r="AI672" s="109"/>
      <c r="AJ672" s="109"/>
      <c r="AK672" s="109"/>
      <c r="AL672" s="109"/>
      <c r="AM672" s="109"/>
      <c r="AN672" s="109"/>
      <c r="AO672" s="109"/>
      <c r="AP672" s="109"/>
      <c r="AQ672" s="109"/>
      <c r="AR672" s="109"/>
      <c r="AS672" s="109"/>
      <c r="AT672" s="109"/>
      <c r="AU672" s="109"/>
      <c r="AV672" s="109"/>
      <c r="AW672" s="109"/>
      <c r="AX672" s="109"/>
      <c r="AY672" s="109"/>
      <c r="AZ672" s="109"/>
      <c r="BA672" s="109"/>
      <c r="BB672" s="109"/>
      <c r="BC672" s="109"/>
      <c r="BD672" s="109"/>
      <c r="BE672" s="109"/>
      <c r="BF672" s="109"/>
      <c r="BG672" s="109"/>
      <c r="BH672" s="109"/>
      <c r="BI672" s="109"/>
      <c r="BJ672" s="109"/>
      <c r="BK672" s="109"/>
      <c r="BL672" s="109"/>
      <c r="BM672" s="109"/>
      <c r="BN672" s="109"/>
      <c r="BO672" s="109"/>
      <c r="BP672" s="109"/>
      <c r="BQ672" s="109"/>
      <c r="BR672" s="109"/>
      <c r="BS672" s="109"/>
      <c r="BT672" s="109"/>
      <c r="BU672" s="109"/>
    </row>
    <row r="673" ht="15.75" customHeight="1">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10"/>
      <c r="X673" s="109"/>
      <c r="Y673" s="109"/>
      <c r="Z673" s="109"/>
      <c r="AA673" s="109"/>
      <c r="AB673" s="109"/>
      <c r="AC673" s="109"/>
      <c r="AD673" s="109"/>
      <c r="AE673" s="109"/>
      <c r="AF673" s="109"/>
      <c r="AG673" s="109"/>
      <c r="AH673" s="109"/>
      <c r="AI673" s="109"/>
      <c r="AJ673" s="109"/>
      <c r="AK673" s="109"/>
      <c r="AL673" s="109"/>
      <c r="AM673" s="109"/>
      <c r="AN673" s="109"/>
      <c r="AO673" s="109"/>
      <c r="AP673" s="109"/>
      <c r="AQ673" s="109"/>
      <c r="AR673" s="109"/>
      <c r="AS673" s="109"/>
      <c r="AT673" s="109"/>
      <c r="AU673" s="109"/>
      <c r="AV673" s="109"/>
      <c r="AW673" s="109"/>
      <c r="AX673" s="109"/>
      <c r="AY673" s="109"/>
      <c r="AZ673" s="109"/>
      <c r="BA673" s="109"/>
      <c r="BB673" s="109"/>
      <c r="BC673" s="109"/>
      <c r="BD673" s="109"/>
      <c r="BE673" s="109"/>
      <c r="BF673" s="109"/>
      <c r="BG673" s="109"/>
      <c r="BH673" s="109"/>
      <c r="BI673" s="109"/>
      <c r="BJ673" s="109"/>
      <c r="BK673" s="109"/>
      <c r="BL673" s="109"/>
      <c r="BM673" s="109"/>
      <c r="BN673" s="109"/>
      <c r="BO673" s="109"/>
      <c r="BP673" s="109"/>
      <c r="BQ673" s="109"/>
      <c r="BR673" s="109"/>
      <c r="BS673" s="109"/>
      <c r="BT673" s="109"/>
      <c r="BU673" s="109"/>
    </row>
    <row r="674" ht="15.75" customHeight="1">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10"/>
      <c r="X674" s="109"/>
      <c r="Y674" s="109"/>
      <c r="Z674" s="109"/>
      <c r="AA674" s="109"/>
      <c r="AB674" s="109"/>
      <c r="AC674" s="109"/>
      <c r="AD674" s="109"/>
      <c r="AE674" s="109"/>
      <c r="AF674" s="109"/>
      <c r="AG674" s="109"/>
      <c r="AH674" s="109"/>
      <c r="AI674" s="109"/>
      <c r="AJ674" s="109"/>
      <c r="AK674" s="109"/>
      <c r="AL674" s="109"/>
      <c r="AM674" s="109"/>
      <c r="AN674" s="109"/>
      <c r="AO674" s="109"/>
      <c r="AP674" s="109"/>
      <c r="AQ674" s="109"/>
      <c r="AR674" s="109"/>
      <c r="AS674" s="109"/>
      <c r="AT674" s="109"/>
      <c r="AU674" s="109"/>
      <c r="AV674" s="109"/>
      <c r="AW674" s="109"/>
      <c r="AX674" s="109"/>
      <c r="AY674" s="109"/>
      <c r="AZ674" s="109"/>
      <c r="BA674" s="109"/>
      <c r="BB674" s="109"/>
      <c r="BC674" s="109"/>
      <c r="BD674" s="109"/>
      <c r="BE674" s="109"/>
      <c r="BF674" s="109"/>
      <c r="BG674" s="109"/>
      <c r="BH674" s="109"/>
      <c r="BI674" s="109"/>
      <c r="BJ674" s="109"/>
      <c r="BK674" s="109"/>
      <c r="BL674" s="109"/>
      <c r="BM674" s="109"/>
      <c r="BN674" s="109"/>
      <c r="BO674" s="109"/>
      <c r="BP674" s="109"/>
      <c r="BQ674" s="109"/>
      <c r="BR674" s="109"/>
      <c r="BS674" s="109"/>
      <c r="BT674" s="109"/>
      <c r="BU674" s="109"/>
    </row>
    <row r="675" ht="15.75" customHeight="1">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10"/>
      <c r="X675" s="109"/>
      <c r="Y675" s="109"/>
      <c r="Z675" s="109"/>
      <c r="AA675" s="109"/>
      <c r="AB675" s="109"/>
      <c r="AC675" s="109"/>
      <c r="AD675" s="109"/>
      <c r="AE675" s="109"/>
      <c r="AF675" s="109"/>
      <c r="AG675" s="109"/>
      <c r="AH675" s="109"/>
      <c r="AI675" s="109"/>
      <c r="AJ675" s="109"/>
      <c r="AK675" s="109"/>
      <c r="AL675" s="109"/>
      <c r="AM675" s="109"/>
      <c r="AN675" s="109"/>
      <c r="AO675" s="109"/>
      <c r="AP675" s="109"/>
      <c r="AQ675" s="109"/>
      <c r="AR675" s="109"/>
      <c r="AS675" s="109"/>
      <c r="AT675" s="109"/>
      <c r="AU675" s="109"/>
      <c r="AV675" s="109"/>
      <c r="AW675" s="109"/>
      <c r="AX675" s="109"/>
      <c r="AY675" s="109"/>
      <c r="AZ675" s="109"/>
      <c r="BA675" s="109"/>
      <c r="BB675" s="109"/>
      <c r="BC675" s="109"/>
      <c r="BD675" s="109"/>
      <c r="BE675" s="109"/>
      <c r="BF675" s="109"/>
      <c r="BG675" s="109"/>
      <c r="BH675" s="109"/>
      <c r="BI675" s="109"/>
      <c r="BJ675" s="109"/>
      <c r="BK675" s="109"/>
      <c r="BL675" s="109"/>
      <c r="BM675" s="109"/>
      <c r="BN675" s="109"/>
      <c r="BO675" s="109"/>
      <c r="BP675" s="109"/>
      <c r="BQ675" s="109"/>
      <c r="BR675" s="109"/>
      <c r="BS675" s="109"/>
      <c r="BT675" s="109"/>
      <c r="BU675" s="109"/>
    </row>
    <row r="676" ht="15.75" customHeight="1">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10"/>
      <c r="X676" s="109"/>
      <c r="Y676" s="109"/>
      <c r="Z676" s="109"/>
      <c r="AA676" s="109"/>
      <c r="AB676" s="109"/>
      <c r="AC676" s="109"/>
      <c r="AD676" s="109"/>
      <c r="AE676" s="109"/>
      <c r="AF676" s="109"/>
      <c r="AG676" s="109"/>
      <c r="AH676" s="109"/>
      <c r="AI676" s="109"/>
      <c r="AJ676" s="109"/>
      <c r="AK676" s="109"/>
      <c r="AL676" s="109"/>
      <c r="AM676" s="109"/>
      <c r="AN676" s="109"/>
      <c r="AO676" s="109"/>
      <c r="AP676" s="109"/>
      <c r="AQ676" s="109"/>
      <c r="AR676" s="109"/>
      <c r="AS676" s="109"/>
      <c r="AT676" s="109"/>
      <c r="AU676" s="109"/>
      <c r="AV676" s="109"/>
      <c r="AW676" s="109"/>
      <c r="AX676" s="109"/>
      <c r="AY676" s="109"/>
      <c r="AZ676" s="109"/>
      <c r="BA676" s="109"/>
      <c r="BB676" s="109"/>
      <c r="BC676" s="109"/>
      <c r="BD676" s="109"/>
      <c r="BE676" s="109"/>
      <c r="BF676" s="109"/>
      <c r="BG676" s="109"/>
      <c r="BH676" s="109"/>
      <c r="BI676" s="109"/>
      <c r="BJ676" s="109"/>
      <c r="BK676" s="109"/>
      <c r="BL676" s="109"/>
      <c r="BM676" s="109"/>
      <c r="BN676" s="109"/>
      <c r="BO676" s="109"/>
      <c r="BP676" s="109"/>
      <c r="BQ676" s="109"/>
      <c r="BR676" s="109"/>
      <c r="BS676" s="109"/>
      <c r="BT676" s="109"/>
      <c r="BU676" s="109"/>
    </row>
    <row r="677" ht="15.75" customHeight="1">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10"/>
      <c r="X677" s="109"/>
      <c r="Y677" s="109"/>
      <c r="Z677" s="109"/>
      <c r="AA677" s="109"/>
      <c r="AB677" s="109"/>
      <c r="AC677" s="109"/>
      <c r="AD677" s="109"/>
      <c r="AE677" s="109"/>
      <c r="AF677" s="109"/>
      <c r="AG677" s="109"/>
      <c r="AH677" s="109"/>
      <c r="AI677" s="109"/>
      <c r="AJ677" s="109"/>
      <c r="AK677" s="109"/>
      <c r="AL677" s="109"/>
      <c r="AM677" s="109"/>
      <c r="AN677" s="109"/>
      <c r="AO677" s="109"/>
      <c r="AP677" s="109"/>
      <c r="AQ677" s="109"/>
      <c r="AR677" s="109"/>
      <c r="AS677" s="109"/>
      <c r="AT677" s="109"/>
      <c r="AU677" s="109"/>
      <c r="AV677" s="109"/>
      <c r="AW677" s="109"/>
      <c r="AX677" s="109"/>
      <c r="AY677" s="109"/>
      <c r="AZ677" s="109"/>
      <c r="BA677" s="109"/>
      <c r="BB677" s="109"/>
      <c r="BC677" s="109"/>
      <c r="BD677" s="109"/>
      <c r="BE677" s="109"/>
      <c r="BF677" s="109"/>
      <c r="BG677" s="109"/>
      <c r="BH677" s="109"/>
      <c r="BI677" s="109"/>
      <c r="BJ677" s="109"/>
      <c r="BK677" s="109"/>
      <c r="BL677" s="109"/>
      <c r="BM677" s="109"/>
      <c r="BN677" s="109"/>
      <c r="BO677" s="109"/>
      <c r="BP677" s="109"/>
      <c r="BQ677" s="109"/>
      <c r="BR677" s="109"/>
      <c r="BS677" s="109"/>
      <c r="BT677" s="109"/>
      <c r="BU677" s="109"/>
    </row>
    <row r="678" ht="15.75" customHeight="1">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10"/>
      <c r="X678" s="109"/>
      <c r="Y678" s="109"/>
      <c r="Z678" s="109"/>
      <c r="AA678" s="109"/>
      <c r="AB678" s="109"/>
      <c r="AC678" s="109"/>
      <c r="AD678" s="109"/>
      <c r="AE678" s="109"/>
      <c r="AF678" s="109"/>
      <c r="AG678" s="109"/>
      <c r="AH678" s="109"/>
      <c r="AI678" s="109"/>
      <c r="AJ678" s="109"/>
      <c r="AK678" s="109"/>
      <c r="AL678" s="109"/>
      <c r="AM678" s="109"/>
      <c r="AN678" s="109"/>
      <c r="AO678" s="109"/>
      <c r="AP678" s="109"/>
      <c r="AQ678" s="109"/>
      <c r="AR678" s="109"/>
      <c r="AS678" s="109"/>
      <c r="AT678" s="109"/>
      <c r="AU678" s="109"/>
      <c r="AV678" s="109"/>
      <c r="AW678" s="109"/>
      <c r="AX678" s="109"/>
      <c r="AY678" s="109"/>
      <c r="AZ678" s="109"/>
      <c r="BA678" s="109"/>
      <c r="BB678" s="109"/>
      <c r="BC678" s="109"/>
      <c r="BD678" s="109"/>
      <c r="BE678" s="109"/>
      <c r="BF678" s="109"/>
      <c r="BG678" s="109"/>
      <c r="BH678" s="109"/>
      <c r="BI678" s="109"/>
      <c r="BJ678" s="109"/>
      <c r="BK678" s="109"/>
      <c r="BL678" s="109"/>
      <c r="BM678" s="109"/>
      <c r="BN678" s="109"/>
      <c r="BO678" s="109"/>
      <c r="BP678" s="109"/>
      <c r="BQ678" s="109"/>
      <c r="BR678" s="109"/>
      <c r="BS678" s="109"/>
      <c r="BT678" s="109"/>
      <c r="BU678" s="109"/>
    </row>
    <row r="679" ht="15.75" customHeight="1">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10"/>
      <c r="X679" s="109"/>
      <c r="Y679" s="109"/>
      <c r="Z679" s="109"/>
      <c r="AA679" s="109"/>
      <c r="AB679" s="109"/>
      <c r="AC679" s="109"/>
      <c r="AD679" s="109"/>
      <c r="AE679" s="109"/>
      <c r="AF679" s="109"/>
      <c r="AG679" s="109"/>
      <c r="AH679" s="109"/>
      <c r="AI679" s="109"/>
      <c r="AJ679" s="109"/>
      <c r="AK679" s="109"/>
      <c r="AL679" s="109"/>
      <c r="AM679" s="109"/>
      <c r="AN679" s="109"/>
      <c r="AO679" s="109"/>
      <c r="AP679" s="109"/>
      <c r="AQ679" s="109"/>
      <c r="AR679" s="109"/>
      <c r="AS679" s="109"/>
      <c r="AT679" s="109"/>
      <c r="AU679" s="109"/>
      <c r="AV679" s="109"/>
      <c r="AW679" s="109"/>
      <c r="AX679" s="109"/>
      <c r="AY679" s="109"/>
      <c r="AZ679" s="109"/>
      <c r="BA679" s="109"/>
      <c r="BB679" s="109"/>
      <c r="BC679" s="109"/>
      <c r="BD679" s="109"/>
      <c r="BE679" s="109"/>
      <c r="BF679" s="109"/>
      <c r="BG679" s="109"/>
      <c r="BH679" s="109"/>
      <c r="BI679" s="109"/>
      <c r="BJ679" s="109"/>
      <c r="BK679" s="109"/>
      <c r="BL679" s="109"/>
      <c r="BM679" s="109"/>
      <c r="BN679" s="109"/>
      <c r="BO679" s="109"/>
      <c r="BP679" s="109"/>
      <c r="BQ679" s="109"/>
      <c r="BR679" s="109"/>
      <c r="BS679" s="109"/>
      <c r="BT679" s="109"/>
      <c r="BU679" s="109"/>
    </row>
    <row r="680" ht="15.75" customHeight="1">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10"/>
      <c r="X680" s="109"/>
      <c r="Y680" s="109"/>
      <c r="Z680" s="109"/>
      <c r="AA680" s="109"/>
      <c r="AB680" s="109"/>
      <c r="AC680" s="109"/>
      <c r="AD680" s="109"/>
      <c r="AE680" s="109"/>
      <c r="AF680" s="109"/>
      <c r="AG680" s="109"/>
      <c r="AH680" s="109"/>
      <c r="AI680" s="109"/>
      <c r="AJ680" s="109"/>
      <c r="AK680" s="109"/>
      <c r="AL680" s="109"/>
      <c r="AM680" s="109"/>
      <c r="AN680" s="109"/>
      <c r="AO680" s="109"/>
      <c r="AP680" s="109"/>
      <c r="AQ680" s="109"/>
      <c r="AR680" s="109"/>
      <c r="AS680" s="109"/>
      <c r="AT680" s="109"/>
      <c r="AU680" s="109"/>
      <c r="AV680" s="109"/>
      <c r="AW680" s="109"/>
      <c r="AX680" s="109"/>
      <c r="AY680" s="109"/>
      <c r="AZ680" s="109"/>
      <c r="BA680" s="109"/>
      <c r="BB680" s="109"/>
      <c r="BC680" s="109"/>
      <c r="BD680" s="109"/>
      <c r="BE680" s="109"/>
      <c r="BF680" s="109"/>
      <c r="BG680" s="109"/>
      <c r="BH680" s="109"/>
      <c r="BI680" s="109"/>
      <c r="BJ680" s="109"/>
      <c r="BK680" s="109"/>
      <c r="BL680" s="109"/>
      <c r="BM680" s="109"/>
      <c r="BN680" s="109"/>
      <c r="BO680" s="109"/>
      <c r="BP680" s="109"/>
      <c r="BQ680" s="109"/>
      <c r="BR680" s="109"/>
      <c r="BS680" s="109"/>
      <c r="BT680" s="109"/>
      <c r="BU680" s="109"/>
    </row>
    <row r="681" ht="15.75" customHeight="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10"/>
      <c r="X681" s="109"/>
      <c r="Y681" s="109"/>
      <c r="Z681" s="109"/>
      <c r="AA681" s="109"/>
      <c r="AB681" s="109"/>
      <c r="AC681" s="109"/>
      <c r="AD681" s="109"/>
      <c r="AE681" s="109"/>
      <c r="AF681" s="109"/>
      <c r="AG681" s="109"/>
      <c r="AH681" s="109"/>
      <c r="AI681" s="109"/>
      <c r="AJ681" s="109"/>
      <c r="AK681" s="109"/>
      <c r="AL681" s="109"/>
      <c r="AM681" s="109"/>
      <c r="AN681" s="109"/>
      <c r="AO681" s="109"/>
      <c r="AP681" s="109"/>
      <c r="AQ681" s="109"/>
      <c r="AR681" s="109"/>
      <c r="AS681" s="109"/>
      <c r="AT681" s="109"/>
      <c r="AU681" s="109"/>
      <c r="AV681" s="109"/>
      <c r="AW681" s="109"/>
      <c r="AX681" s="109"/>
      <c r="AY681" s="109"/>
      <c r="AZ681" s="109"/>
      <c r="BA681" s="109"/>
      <c r="BB681" s="109"/>
      <c r="BC681" s="109"/>
      <c r="BD681" s="109"/>
      <c r="BE681" s="109"/>
      <c r="BF681" s="109"/>
      <c r="BG681" s="109"/>
      <c r="BH681" s="109"/>
      <c r="BI681" s="109"/>
      <c r="BJ681" s="109"/>
      <c r="BK681" s="109"/>
      <c r="BL681" s="109"/>
      <c r="BM681" s="109"/>
      <c r="BN681" s="109"/>
      <c r="BO681" s="109"/>
      <c r="BP681" s="109"/>
      <c r="BQ681" s="109"/>
      <c r="BR681" s="109"/>
      <c r="BS681" s="109"/>
      <c r="BT681" s="109"/>
      <c r="BU681" s="109"/>
    </row>
    <row r="682" ht="15.75" customHeight="1">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10"/>
      <c r="X682" s="109"/>
      <c r="Y682" s="109"/>
      <c r="Z682" s="109"/>
      <c r="AA682" s="109"/>
      <c r="AB682" s="109"/>
      <c r="AC682" s="109"/>
      <c r="AD682" s="109"/>
      <c r="AE682" s="109"/>
      <c r="AF682" s="109"/>
      <c r="AG682" s="109"/>
      <c r="AH682" s="109"/>
      <c r="AI682" s="109"/>
      <c r="AJ682" s="109"/>
      <c r="AK682" s="109"/>
      <c r="AL682" s="109"/>
      <c r="AM682" s="109"/>
      <c r="AN682" s="109"/>
      <c r="AO682" s="109"/>
      <c r="AP682" s="109"/>
      <c r="AQ682" s="109"/>
      <c r="AR682" s="109"/>
      <c r="AS682" s="109"/>
      <c r="AT682" s="109"/>
      <c r="AU682" s="109"/>
      <c r="AV682" s="109"/>
      <c r="AW682" s="109"/>
      <c r="AX682" s="109"/>
      <c r="AY682" s="109"/>
      <c r="AZ682" s="109"/>
      <c r="BA682" s="109"/>
      <c r="BB682" s="109"/>
      <c r="BC682" s="109"/>
      <c r="BD682" s="109"/>
      <c r="BE682" s="109"/>
      <c r="BF682" s="109"/>
      <c r="BG682" s="109"/>
      <c r="BH682" s="109"/>
      <c r="BI682" s="109"/>
      <c r="BJ682" s="109"/>
      <c r="BK682" s="109"/>
      <c r="BL682" s="109"/>
      <c r="BM682" s="109"/>
      <c r="BN682" s="109"/>
      <c r="BO682" s="109"/>
      <c r="BP682" s="109"/>
      <c r="BQ682" s="109"/>
      <c r="BR682" s="109"/>
      <c r="BS682" s="109"/>
      <c r="BT682" s="109"/>
      <c r="BU682" s="109"/>
    </row>
    <row r="683" ht="15.75" customHeight="1">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10"/>
      <c r="X683" s="109"/>
      <c r="Y683" s="109"/>
      <c r="Z683" s="109"/>
      <c r="AA683" s="109"/>
      <c r="AB683" s="109"/>
      <c r="AC683" s="109"/>
      <c r="AD683" s="109"/>
      <c r="AE683" s="109"/>
      <c r="AF683" s="109"/>
      <c r="AG683" s="109"/>
      <c r="AH683" s="109"/>
      <c r="AI683" s="109"/>
      <c r="AJ683" s="109"/>
      <c r="AK683" s="109"/>
      <c r="AL683" s="109"/>
      <c r="AM683" s="109"/>
      <c r="AN683" s="109"/>
      <c r="AO683" s="109"/>
      <c r="AP683" s="109"/>
      <c r="AQ683" s="109"/>
      <c r="AR683" s="109"/>
      <c r="AS683" s="109"/>
      <c r="AT683" s="109"/>
      <c r="AU683" s="109"/>
      <c r="AV683" s="109"/>
      <c r="AW683" s="109"/>
      <c r="AX683" s="109"/>
      <c r="AY683" s="109"/>
      <c r="AZ683" s="109"/>
      <c r="BA683" s="109"/>
      <c r="BB683" s="109"/>
      <c r="BC683" s="109"/>
      <c r="BD683" s="109"/>
      <c r="BE683" s="109"/>
      <c r="BF683" s="109"/>
      <c r="BG683" s="109"/>
      <c r="BH683" s="109"/>
      <c r="BI683" s="109"/>
      <c r="BJ683" s="109"/>
      <c r="BK683" s="109"/>
      <c r="BL683" s="109"/>
      <c r="BM683" s="109"/>
      <c r="BN683" s="109"/>
      <c r="BO683" s="109"/>
      <c r="BP683" s="109"/>
      <c r="BQ683" s="109"/>
      <c r="BR683" s="109"/>
      <c r="BS683" s="109"/>
      <c r="BT683" s="109"/>
      <c r="BU683" s="109"/>
    </row>
    <row r="684" ht="15.75" customHeight="1">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10"/>
      <c r="X684" s="109"/>
      <c r="Y684" s="109"/>
      <c r="Z684" s="109"/>
      <c r="AA684" s="109"/>
      <c r="AB684" s="109"/>
      <c r="AC684" s="109"/>
      <c r="AD684" s="109"/>
      <c r="AE684" s="109"/>
      <c r="AF684" s="109"/>
      <c r="AG684" s="109"/>
      <c r="AH684" s="109"/>
      <c r="AI684" s="109"/>
      <c r="AJ684" s="109"/>
      <c r="AK684" s="109"/>
      <c r="AL684" s="109"/>
      <c r="AM684" s="109"/>
      <c r="AN684" s="109"/>
      <c r="AO684" s="109"/>
      <c r="AP684" s="109"/>
      <c r="AQ684" s="109"/>
      <c r="AR684" s="109"/>
      <c r="AS684" s="109"/>
      <c r="AT684" s="109"/>
      <c r="AU684" s="109"/>
      <c r="AV684" s="109"/>
      <c r="AW684" s="109"/>
      <c r="AX684" s="109"/>
      <c r="AY684" s="109"/>
      <c r="AZ684" s="109"/>
      <c r="BA684" s="109"/>
      <c r="BB684" s="109"/>
      <c r="BC684" s="109"/>
      <c r="BD684" s="109"/>
      <c r="BE684" s="109"/>
      <c r="BF684" s="109"/>
      <c r="BG684" s="109"/>
      <c r="BH684" s="109"/>
      <c r="BI684" s="109"/>
      <c r="BJ684" s="109"/>
      <c r="BK684" s="109"/>
      <c r="BL684" s="109"/>
      <c r="BM684" s="109"/>
      <c r="BN684" s="109"/>
      <c r="BO684" s="109"/>
      <c r="BP684" s="109"/>
      <c r="BQ684" s="109"/>
      <c r="BR684" s="109"/>
      <c r="BS684" s="109"/>
      <c r="BT684" s="109"/>
      <c r="BU684" s="109"/>
    </row>
    <row r="685" ht="15.75" customHeight="1">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10"/>
      <c r="X685" s="109"/>
      <c r="Y685" s="109"/>
      <c r="Z685" s="109"/>
      <c r="AA685" s="109"/>
      <c r="AB685" s="109"/>
      <c r="AC685" s="109"/>
      <c r="AD685" s="109"/>
      <c r="AE685" s="109"/>
      <c r="AF685" s="109"/>
      <c r="AG685" s="109"/>
      <c r="AH685" s="109"/>
      <c r="AI685" s="109"/>
      <c r="AJ685" s="109"/>
      <c r="AK685" s="109"/>
      <c r="AL685" s="109"/>
      <c r="AM685" s="109"/>
      <c r="AN685" s="109"/>
      <c r="AO685" s="109"/>
      <c r="AP685" s="109"/>
      <c r="AQ685" s="109"/>
      <c r="AR685" s="109"/>
      <c r="AS685" s="109"/>
      <c r="AT685" s="109"/>
      <c r="AU685" s="109"/>
      <c r="AV685" s="109"/>
      <c r="AW685" s="109"/>
      <c r="AX685" s="109"/>
      <c r="AY685" s="109"/>
      <c r="AZ685" s="109"/>
      <c r="BA685" s="109"/>
      <c r="BB685" s="109"/>
      <c r="BC685" s="109"/>
      <c r="BD685" s="109"/>
      <c r="BE685" s="109"/>
      <c r="BF685" s="109"/>
      <c r="BG685" s="109"/>
      <c r="BH685" s="109"/>
      <c r="BI685" s="109"/>
      <c r="BJ685" s="109"/>
      <c r="BK685" s="109"/>
      <c r="BL685" s="109"/>
      <c r="BM685" s="109"/>
      <c r="BN685" s="109"/>
      <c r="BO685" s="109"/>
      <c r="BP685" s="109"/>
      <c r="BQ685" s="109"/>
      <c r="BR685" s="109"/>
      <c r="BS685" s="109"/>
      <c r="BT685" s="109"/>
      <c r="BU685" s="109"/>
    </row>
    <row r="686" ht="15.75" customHeight="1">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10"/>
      <c r="X686" s="109"/>
      <c r="Y686" s="109"/>
      <c r="Z686" s="109"/>
      <c r="AA686" s="109"/>
      <c r="AB686" s="109"/>
      <c r="AC686" s="109"/>
      <c r="AD686" s="109"/>
      <c r="AE686" s="109"/>
      <c r="AF686" s="109"/>
      <c r="AG686" s="109"/>
      <c r="AH686" s="109"/>
      <c r="AI686" s="109"/>
      <c r="AJ686" s="109"/>
      <c r="AK686" s="109"/>
      <c r="AL686" s="109"/>
      <c r="AM686" s="109"/>
      <c r="AN686" s="109"/>
      <c r="AO686" s="109"/>
      <c r="AP686" s="109"/>
      <c r="AQ686" s="109"/>
      <c r="AR686" s="109"/>
      <c r="AS686" s="109"/>
      <c r="AT686" s="109"/>
      <c r="AU686" s="109"/>
      <c r="AV686" s="109"/>
      <c r="AW686" s="109"/>
      <c r="AX686" s="109"/>
      <c r="AY686" s="109"/>
      <c r="AZ686" s="109"/>
      <c r="BA686" s="109"/>
      <c r="BB686" s="109"/>
      <c r="BC686" s="109"/>
      <c r="BD686" s="109"/>
      <c r="BE686" s="109"/>
      <c r="BF686" s="109"/>
      <c r="BG686" s="109"/>
      <c r="BH686" s="109"/>
      <c r="BI686" s="109"/>
      <c r="BJ686" s="109"/>
      <c r="BK686" s="109"/>
      <c r="BL686" s="109"/>
      <c r="BM686" s="109"/>
      <c r="BN686" s="109"/>
      <c r="BO686" s="109"/>
      <c r="BP686" s="109"/>
      <c r="BQ686" s="109"/>
      <c r="BR686" s="109"/>
      <c r="BS686" s="109"/>
      <c r="BT686" s="109"/>
      <c r="BU686" s="109"/>
    </row>
    <row r="687" ht="15.75" customHeight="1">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10"/>
      <c r="X687" s="109"/>
      <c r="Y687" s="109"/>
      <c r="Z687" s="109"/>
      <c r="AA687" s="109"/>
      <c r="AB687" s="109"/>
      <c r="AC687" s="109"/>
      <c r="AD687" s="109"/>
      <c r="AE687" s="109"/>
      <c r="AF687" s="109"/>
      <c r="AG687" s="109"/>
      <c r="AH687" s="109"/>
      <c r="AI687" s="109"/>
      <c r="AJ687" s="109"/>
      <c r="AK687" s="109"/>
      <c r="AL687" s="109"/>
      <c r="AM687" s="109"/>
      <c r="AN687" s="109"/>
      <c r="AO687" s="109"/>
      <c r="AP687" s="109"/>
      <c r="AQ687" s="109"/>
      <c r="AR687" s="109"/>
      <c r="AS687" s="109"/>
      <c r="AT687" s="109"/>
      <c r="AU687" s="109"/>
      <c r="AV687" s="109"/>
      <c r="AW687" s="109"/>
      <c r="AX687" s="109"/>
      <c r="AY687" s="109"/>
      <c r="AZ687" s="109"/>
      <c r="BA687" s="109"/>
      <c r="BB687" s="109"/>
      <c r="BC687" s="109"/>
      <c r="BD687" s="109"/>
      <c r="BE687" s="109"/>
      <c r="BF687" s="109"/>
      <c r="BG687" s="109"/>
      <c r="BH687" s="109"/>
      <c r="BI687" s="109"/>
      <c r="BJ687" s="109"/>
      <c r="BK687" s="109"/>
      <c r="BL687" s="109"/>
      <c r="BM687" s="109"/>
      <c r="BN687" s="109"/>
      <c r="BO687" s="109"/>
      <c r="BP687" s="109"/>
      <c r="BQ687" s="109"/>
      <c r="BR687" s="109"/>
      <c r="BS687" s="109"/>
      <c r="BT687" s="109"/>
      <c r="BU687" s="109"/>
    </row>
    <row r="688" ht="15.75" customHeight="1">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10"/>
      <c r="X688" s="109"/>
      <c r="Y688" s="109"/>
      <c r="Z688" s="109"/>
      <c r="AA688" s="109"/>
      <c r="AB688" s="109"/>
      <c r="AC688" s="109"/>
      <c r="AD688" s="109"/>
      <c r="AE688" s="109"/>
      <c r="AF688" s="109"/>
      <c r="AG688" s="109"/>
      <c r="AH688" s="109"/>
      <c r="AI688" s="109"/>
      <c r="AJ688" s="109"/>
      <c r="AK688" s="109"/>
      <c r="AL688" s="109"/>
      <c r="AM688" s="109"/>
      <c r="AN688" s="109"/>
      <c r="AO688" s="109"/>
      <c r="AP688" s="109"/>
      <c r="AQ688" s="109"/>
      <c r="AR688" s="109"/>
      <c r="AS688" s="109"/>
      <c r="AT688" s="109"/>
      <c r="AU688" s="109"/>
      <c r="AV688" s="109"/>
      <c r="AW688" s="109"/>
      <c r="AX688" s="109"/>
      <c r="AY688" s="109"/>
      <c r="AZ688" s="109"/>
      <c r="BA688" s="109"/>
      <c r="BB688" s="109"/>
      <c r="BC688" s="109"/>
      <c r="BD688" s="109"/>
      <c r="BE688" s="109"/>
      <c r="BF688" s="109"/>
      <c r="BG688" s="109"/>
      <c r="BH688" s="109"/>
      <c r="BI688" s="109"/>
      <c r="BJ688" s="109"/>
      <c r="BK688" s="109"/>
      <c r="BL688" s="109"/>
      <c r="BM688" s="109"/>
      <c r="BN688" s="109"/>
      <c r="BO688" s="109"/>
      <c r="BP688" s="109"/>
      <c r="BQ688" s="109"/>
      <c r="BR688" s="109"/>
      <c r="BS688" s="109"/>
      <c r="BT688" s="109"/>
      <c r="BU688" s="109"/>
    </row>
    <row r="689" ht="15.75" customHeight="1">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10"/>
      <c r="X689" s="109"/>
      <c r="Y689" s="109"/>
      <c r="Z689" s="109"/>
      <c r="AA689" s="109"/>
      <c r="AB689" s="109"/>
      <c r="AC689" s="109"/>
      <c r="AD689" s="109"/>
      <c r="AE689" s="109"/>
      <c r="AF689" s="109"/>
      <c r="AG689" s="109"/>
      <c r="AH689" s="109"/>
      <c r="AI689" s="109"/>
      <c r="AJ689" s="109"/>
      <c r="AK689" s="109"/>
      <c r="AL689" s="109"/>
      <c r="AM689" s="109"/>
      <c r="AN689" s="109"/>
      <c r="AO689" s="109"/>
      <c r="AP689" s="109"/>
      <c r="AQ689" s="109"/>
      <c r="AR689" s="109"/>
      <c r="AS689" s="109"/>
      <c r="AT689" s="109"/>
      <c r="AU689" s="109"/>
      <c r="AV689" s="109"/>
      <c r="AW689" s="109"/>
      <c r="AX689" s="109"/>
      <c r="AY689" s="109"/>
      <c r="AZ689" s="109"/>
      <c r="BA689" s="109"/>
      <c r="BB689" s="109"/>
      <c r="BC689" s="109"/>
      <c r="BD689" s="109"/>
      <c r="BE689" s="109"/>
      <c r="BF689" s="109"/>
      <c r="BG689" s="109"/>
      <c r="BH689" s="109"/>
      <c r="BI689" s="109"/>
      <c r="BJ689" s="109"/>
      <c r="BK689" s="109"/>
      <c r="BL689" s="109"/>
      <c r="BM689" s="109"/>
      <c r="BN689" s="109"/>
      <c r="BO689" s="109"/>
      <c r="BP689" s="109"/>
      <c r="BQ689" s="109"/>
      <c r="BR689" s="109"/>
      <c r="BS689" s="109"/>
      <c r="BT689" s="109"/>
      <c r="BU689" s="109"/>
    </row>
    <row r="690" ht="15.75" customHeight="1">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10"/>
      <c r="X690" s="109"/>
      <c r="Y690" s="109"/>
      <c r="Z690" s="109"/>
      <c r="AA690" s="109"/>
      <c r="AB690" s="109"/>
      <c r="AC690" s="109"/>
      <c r="AD690" s="109"/>
      <c r="AE690" s="109"/>
      <c r="AF690" s="109"/>
      <c r="AG690" s="109"/>
      <c r="AH690" s="109"/>
      <c r="AI690" s="109"/>
      <c r="AJ690" s="109"/>
      <c r="AK690" s="109"/>
      <c r="AL690" s="109"/>
      <c r="AM690" s="109"/>
      <c r="AN690" s="109"/>
      <c r="AO690" s="109"/>
      <c r="AP690" s="109"/>
      <c r="AQ690" s="109"/>
      <c r="AR690" s="109"/>
      <c r="AS690" s="109"/>
      <c r="AT690" s="109"/>
      <c r="AU690" s="109"/>
      <c r="AV690" s="109"/>
      <c r="AW690" s="109"/>
      <c r="AX690" s="109"/>
      <c r="AY690" s="109"/>
      <c r="AZ690" s="109"/>
      <c r="BA690" s="109"/>
      <c r="BB690" s="109"/>
      <c r="BC690" s="109"/>
      <c r="BD690" s="109"/>
      <c r="BE690" s="109"/>
      <c r="BF690" s="109"/>
      <c r="BG690" s="109"/>
      <c r="BH690" s="109"/>
      <c r="BI690" s="109"/>
      <c r="BJ690" s="109"/>
      <c r="BK690" s="109"/>
      <c r="BL690" s="109"/>
      <c r="BM690" s="109"/>
      <c r="BN690" s="109"/>
      <c r="BO690" s="109"/>
      <c r="BP690" s="109"/>
      <c r="BQ690" s="109"/>
      <c r="BR690" s="109"/>
      <c r="BS690" s="109"/>
      <c r="BT690" s="109"/>
      <c r="BU690" s="109"/>
    </row>
    <row r="691" ht="15.75" customHeight="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10"/>
      <c r="X691" s="109"/>
      <c r="Y691" s="109"/>
      <c r="Z691" s="109"/>
      <c r="AA691" s="109"/>
      <c r="AB691" s="109"/>
      <c r="AC691" s="109"/>
      <c r="AD691" s="109"/>
      <c r="AE691" s="109"/>
      <c r="AF691" s="109"/>
      <c r="AG691" s="109"/>
      <c r="AH691" s="109"/>
      <c r="AI691" s="109"/>
      <c r="AJ691" s="109"/>
      <c r="AK691" s="109"/>
      <c r="AL691" s="109"/>
      <c r="AM691" s="109"/>
      <c r="AN691" s="109"/>
      <c r="AO691" s="109"/>
      <c r="AP691" s="109"/>
      <c r="AQ691" s="109"/>
      <c r="AR691" s="109"/>
      <c r="AS691" s="109"/>
      <c r="AT691" s="109"/>
      <c r="AU691" s="109"/>
      <c r="AV691" s="109"/>
      <c r="AW691" s="109"/>
      <c r="AX691" s="109"/>
      <c r="AY691" s="109"/>
      <c r="AZ691" s="109"/>
      <c r="BA691" s="109"/>
      <c r="BB691" s="109"/>
      <c r="BC691" s="109"/>
      <c r="BD691" s="109"/>
      <c r="BE691" s="109"/>
      <c r="BF691" s="109"/>
      <c r="BG691" s="109"/>
      <c r="BH691" s="109"/>
      <c r="BI691" s="109"/>
      <c r="BJ691" s="109"/>
      <c r="BK691" s="109"/>
      <c r="BL691" s="109"/>
      <c r="BM691" s="109"/>
      <c r="BN691" s="109"/>
      <c r="BO691" s="109"/>
      <c r="BP691" s="109"/>
      <c r="BQ691" s="109"/>
      <c r="BR691" s="109"/>
      <c r="BS691" s="109"/>
      <c r="BT691" s="109"/>
      <c r="BU691" s="109"/>
    </row>
    <row r="692" ht="15.75" customHeight="1">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10"/>
      <c r="X692" s="109"/>
      <c r="Y692" s="109"/>
      <c r="Z692" s="109"/>
      <c r="AA692" s="109"/>
      <c r="AB692" s="109"/>
      <c r="AC692" s="109"/>
      <c r="AD692" s="109"/>
      <c r="AE692" s="109"/>
      <c r="AF692" s="109"/>
      <c r="AG692" s="109"/>
      <c r="AH692" s="109"/>
      <c r="AI692" s="109"/>
      <c r="AJ692" s="109"/>
      <c r="AK692" s="109"/>
      <c r="AL692" s="109"/>
      <c r="AM692" s="109"/>
      <c r="AN692" s="109"/>
      <c r="AO692" s="109"/>
      <c r="AP692" s="109"/>
      <c r="AQ692" s="109"/>
      <c r="AR692" s="109"/>
      <c r="AS692" s="109"/>
      <c r="AT692" s="109"/>
      <c r="AU692" s="109"/>
      <c r="AV692" s="109"/>
      <c r="AW692" s="109"/>
      <c r="AX692" s="109"/>
      <c r="AY692" s="109"/>
      <c r="AZ692" s="109"/>
      <c r="BA692" s="109"/>
      <c r="BB692" s="109"/>
      <c r="BC692" s="109"/>
      <c r="BD692" s="109"/>
      <c r="BE692" s="109"/>
      <c r="BF692" s="109"/>
      <c r="BG692" s="109"/>
      <c r="BH692" s="109"/>
      <c r="BI692" s="109"/>
      <c r="BJ692" s="109"/>
      <c r="BK692" s="109"/>
      <c r="BL692" s="109"/>
      <c r="BM692" s="109"/>
      <c r="BN692" s="109"/>
      <c r="BO692" s="109"/>
      <c r="BP692" s="109"/>
      <c r="BQ692" s="109"/>
      <c r="BR692" s="109"/>
      <c r="BS692" s="109"/>
      <c r="BT692" s="109"/>
      <c r="BU692" s="109"/>
    </row>
    <row r="693" ht="15.75" customHeight="1">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10"/>
      <c r="X693" s="109"/>
      <c r="Y693" s="109"/>
      <c r="Z693" s="109"/>
      <c r="AA693" s="109"/>
      <c r="AB693" s="109"/>
      <c r="AC693" s="109"/>
      <c r="AD693" s="109"/>
      <c r="AE693" s="109"/>
      <c r="AF693" s="109"/>
      <c r="AG693" s="109"/>
      <c r="AH693" s="109"/>
      <c r="AI693" s="109"/>
      <c r="AJ693" s="109"/>
      <c r="AK693" s="109"/>
      <c r="AL693" s="109"/>
      <c r="AM693" s="109"/>
      <c r="AN693" s="109"/>
      <c r="AO693" s="109"/>
      <c r="AP693" s="109"/>
      <c r="AQ693" s="109"/>
      <c r="AR693" s="109"/>
      <c r="AS693" s="109"/>
      <c r="AT693" s="109"/>
      <c r="AU693" s="109"/>
      <c r="AV693" s="109"/>
      <c r="AW693" s="109"/>
      <c r="AX693" s="109"/>
      <c r="AY693" s="109"/>
      <c r="AZ693" s="109"/>
      <c r="BA693" s="109"/>
      <c r="BB693" s="109"/>
      <c r="BC693" s="109"/>
      <c r="BD693" s="109"/>
      <c r="BE693" s="109"/>
      <c r="BF693" s="109"/>
      <c r="BG693" s="109"/>
      <c r="BH693" s="109"/>
      <c r="BI693" s="109"/>
      <c r="BJ693" s="109"/>
      <c r="BK693" s="109"/>
      <c r="BL693" s="109"/>
      <c r="BM693" s="109"/>
      <c r="BN693" s="109"/>
      <c r="BO693" s="109"/>
      <c r="BP693" s="109"/>
      <c r="BQ693" s="109"/>
      <c r="BR693" s="109"/>
      <c r="BS693" s="109"/>
      <c r="BT693" s="109"/>
      <c r="BU693" s="109"/>
    </row>
    <row r="694" ht="15.75" customHeight="1">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10"/>
      <c r="X694" s="109"/>
      <c r="Y694" s="109"/>
      <c r="Z694" s="109"/>
      <c r="AA694" s="109"/>
      <c r="AB694" s="109"/>
      <c r="AC694" s="109"/>
      <c r="AD694" s="109"/>
      <c r="AE694" s="109"/>
      <c r="AF694" s="109"/>
      <c r="AG694" s="109"/>
      <c r="AH694" s="109"/>
      <c r="AI694" s="109"/>
      <c r="AJ694" s="109"/>
      <c r="AK694" s="109"/>
      <c r="AL694" s="109"/>
      <c r="AM694" s="109"/>
      <c r="AN694" s="109"/>
      <c r="AO694" s="109"/>
      <c r="AP694" s="109"/>
      <c r="AQ694" s="109"/>
      <c r="AR694" s="109"/>
      <c r="AS694" s="109"/>
      <c r="AT694" s="109"/>
      <c r="AU694" s="109"/>
      <c r="AV694" s="109"/>
      <c r="AW694" s="109"/>
      <c r="AX694" s="109"/>
      <c r="AY694" s="109"/>
      <c r="AZ694" s="109"/>
      <c r="BA694" s="109"/>
      <c r="BB694" s="109"/>
      <c r="BC694" s="109"/>
      <c r="BD694" s="109"/>
      <c r="BE694" s="109"/>
      <c r="BF694" s="109"/>
      <c r="BG694" s="109"/>
      <c r="BH694" s="109"/>
      <c r="BI694" s="109"/>
      <c r="BJ694" s="109"/>
      <c r="BK694" s="109"/>
      <c r="BL694" s="109"/>
      <c r="BM694" s="109"/>
      <c r="BN694" s="109"/>
      <c r="BO694" s="109"/>
      <c r="BP694" s="109"/>
      <c r="BQ694" s="109"/>
      <c r="BR694" s="109"/>
      <c r="BS694" s="109"/>
      <c r="BT694" s="109"/>
      <c r="BU694" s="109"/>
    </row>
    <row r="695" ht="15.75" customHeight="1">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10"/>
      <c r="X695" s="109"/>
      <c r="Y695" s="109"/>
      <c r="Z695" s="109"/>
      <c r="AA695" s="109"/>
      <c r="AB695" s="109"/>
      <c r="AC695" s="109"/>
      <c r="AD695" s="109"/>
      <c r="AE695" s="109"/>
      <c r="AF695" s="109"/>
      <c r="AG695" s="109"/>
      <c r="AH695" s="109"/>
      <c r="AI695" s="109"/>
      <c r="AJ695" s="109"/>
      <c r="AK695" s="109"/>
      <c r="AL695" s="109"/>
      <c r="AM695" s="109"/>
      <c r="AN695" s="109"/>
      <c r="AO695" s="109"/>
      <c r="AP695" s="109"/>
      <c r="AQ695" s="109"/>
      <c r="AR695" s="109"/>
      <c r="AS695" s="109"/>
      <c r="AT695" s="109"/>
      <c r="AU695" s="109"/>
      <c r="AV695" s="109"/>
      <c r="AW695" s="109"/>
      <c r="AX695" s="109"/>
      <c r="AY695" s="109"/>
      <c r="AZ695" s="109"/>
      <c r="BA695" s="109"/>
      <c r="BB695" s="109"/>
      <c r="BC695" s="109"/>
      <c r="BD695" s="109"/>
      <c r="BE695" s="109"/>
      <c r="BF695" s="109"/>
      <c r="BG695" s="109"/>
      <c r="BH695" s="109"/>
      <c r="BI695" s="109"/>
      <c r="BJ695" s="109"/>
      <c r="BK695" s="109"/>
      <c r="BL695" s="109"/>
      <c r="BM695" s="109"/>
      <c r="BN695" s="109"/>
      <c r="BO695" s="109"/>
      <c r="BP695" s="109"/>
      <c r="BQ695" s="109"/>
      <c r="BR695" s="109"/>
      <c r="BS695" s="109"/>
      <c r="BT695" s="109"/>
      <c r="BU695" s="109"/>
    </row>
    <row r="696" ht="15.75" customHeight="1">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10"/>
      <c r="X696" s="109"/>
      <c r="Y696" s="109"/>
      <c r="Z696" s="109"/>
      <c r="AA696" s="109"/>
      <c r="AB696" s="109"/>
      <c r="AC696" s="109"/>
      <c r="AD696" s="109"/>
      <c r="AE696" s="109"/>
      <c r="AF696" s="109"/>
      <c r="AG696" s="109"/>
      <c r="AH696" s="109"/>
      <c r="AI696" s="109"/>
      <c r="AJ696" s="109"/>
      <c r="AK696" s="109"/>
      <c r="AL696" s="109"/>
      <c r="AM696" s="109"/>
      <c r="AN696" s="109"/>
      <c r="AO696" s="109"/>
      <c r="AP696" s="109"/>
      <c r="AQ696" s="109"/>
      <c r="AR696" s="109"/>
      <c r="AS696" s="109"/>
      <c r="AT696" s="109"/>
      <c r="AU696" s="109"/>
      <c r="AV696" s="109"/>
      <c r="AW696" s="109"/>
      <c r="AX696" s="109"/>
      <c r="AY696" s="109"/>
      <c r="AZ696" s="109"/>
      <c r="BA696" s="109"/>
      <c r="BB696" s="109"/>
      <c r="BC696" s="109"/>
      <c r="BD696" s="109"/>
      <c r="BE696" s="109"/>
      <c r="BF696" s="109"/>
      <c r="BG696" s="109"/>
      <c r="BH696" s="109"/>
      <c r="BI696" s="109"/>
      <c r="BJ696" s="109"/>
      <c r="BK696" s="109"/>
      <c r="BL696" s="109"/>
      <c r="BM696" s="109"/>
      <c r="BN696" s="109"/>
      <c r="BO696" s="109"/>
      <c r="BP696" s="109"/>
      <c r="BQ696" s="109"/>
      <c r="BR696" s="109"/>
      <c r="BS696" s="109"/>
      <c r="BT696" s="109"/>
      <c r="BU696" s="109"/>
    </row>
    <row r="697" ht="15.75" customHeight="1">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10"/>
      <c r="X697" s="109"/>
      <c r="Y697" s="109"/>
      <c r="Z697" s="109"/>
      <c r="AA697" s="109"/>
      <c r="AB697" s="109"/>
      <c r="AC697" s="109"/>
      <c r="AD697" s="109"/>
      <c r="AE697" s="109"/>
      <c r="AF697" s="109"/>
      <c r="AG697" s="109"/>
      <c r="AH697" s="109"/>
      <c r="AI697" s="109"/>
      <c r="AJ697" s="109"/>
      <c r="AK697" s="109"/>
      <c r="AL697" s="109"/>
      <c r="AM697" s="109"/>
      <c r="AN697" s="109"/>
      <c r="AO697" s="109"/>
      <c r="AP697" s="109"/>
      <c r="AQ697" s="109"/>
      <c r="AR697" s="109"/>
      <c r="AS697" s="109"/>
      <c r="AT697" s="109"/>
      <c r="AU697" s="109"/>
      <c r="AV697" s="109"/>
      <c r="AW697" s="109"/>
      <c r="AX697" s="109"/>
      <c r="AY697" s="109"/>
      <c r="AZ697" s="109"/>
      <c r="BA697" s="109"/>
      <c r="BB697" s="109"/>
      <c r="BC697" s="109"/>
      <c r="BD697" s="109"/>
      <c r="BE697" s="109"/>
      <c r="BF697" s="109"/>
      <c r="BG697" s="109"/>
      <c r="BH697" s="109"/>
      <c r="BI697" s="109"/>
      <c r="BJ697" s="109"/>
      <c r="BK697" s="109"/>
      <c r="BL697" s="109"/>
      <c r="BM697" s="109"/>
      <c r="BN697" s="109"/>
      <c r="BO697" s="109"/>
      <c r="BP697" s="109"/>
      <c r="BQ697" s="109"/>
      <c r="BR697" s="109"/>
      <c r="BS697" s="109"/>
      <c r="BT697" s="109"/>
      <c r="BU697" s="109"/>
    </row>
    <row r="698" ht="15.75" customHeight="1">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10"/>
      <c r="X698" s="109"/>
      <c r="Y698" s="109"/>
      <c r="Z698" s="109"/>
      <c r="AA698" s="109"/>
      <c r="AB698" s="109"/>
      <c r="AC698" s="109"/>
      <c r="AD698" s="109"/>
      <c r="AE698" s="109"/>
      <c r="AF698" s="109"/>
      <c r="AG698" s="109"/>
      <c r="AH698" s="109"/>
      <c r="AI698" s="109"/>
      <c r="AJ698" s="109"/>
      <c r="AK698" s="109"/>
      <c r="AL698" s="109"/>
      <c r="AM698" s="109"/>
      <c r="AN698" s="109"/>
      <c r="AO698" s="109"/>
      <c r="AP698" s="109"/>
      <c r="AQ698" s="109"/>
      <c r="AR698" s="109"/>
      <c r="AS698" s="109"/>
      <c r="AT698" s="109"/>
      <c r="AU698" s="109"/>
      <c r="AV698" s="109"/>
      <c r="AW698" s="109"/>
      <c r="AX698" s="109"/>
      <c r="AY698" s="109"/>
      <c r="AZ698" s="109"/>
      <c r="BA698" s="109"/>
      <c r="BB698" s="109"/>
      <c r="BC698" s="109"/>
      <c r="BD698" s="109"/>
      <c r="BE698" s="109"/>
      <c r="BF698" s="109"/>
      <c r="BG698" s="109"/>
      <c r="BH698" s="109"/>
      <c r="BI698" s="109"/>
      <c r="BJ698" s="109"/>
      <c r="BK698" s="109"/>
      <c r="BL698" s="109"/>
      <c r="BM698" s="109"/>
      <c r="BN698" s="109"/>
      <c r="BO698" s="109"/>
      <c r="BP698" s="109"/>
      <c r="BQ698" s="109"/>
      <c r="BR698" s="109"/>
      <c r="BS698" s="109"/>
      <c r="BT698" s="109"/>
      <c r="BU698" s="109"/>
    </row>
    <row r="699" ht="15.75" customHeight="1">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10"/>
      <c r="X699" s="109"/>
      <c r="Y699" s="109"/>
      <c r="Z699" s="109"/>
      <c r="AA699" s="109"/>
      <c r="AB699" s="109"/>
      <c r="AC699" s="109"/>
      <c r="AD699" s="109"/>
      <c r="AE699" s="109"/>
      <c r="AF699" s="109"/>
      <c r="AG699" s="109"/>
      <c r="AH699" s="109"/>
      <c r="AI699" s="109"/>
      <c r="AJ699" s="109"/>
      <c r="AK699" s="109"/>
      <c r="AL699" s="109"/>
      <c r="AM699" s="109"/>
      <c r="AN699" s="109"/>
      <c r="AO699" s="109"/>
      <c r="AP699" s="109"/>
      <c r="AQ699" s="109"/>
      <c r="AR699" s="109"/>
      <c r="AS699" s="109"/>
      <c r="AT699" s="109"/>
      <c r="AU699" s="109"/>
      <c r="AV699" s="109"/>
      <c r="AW699" s="109"/>
      <c r="AX699" s="109"/>
      <c r="AY699" s="109"/>
      <c r="AZ699" s="109"/>
      <c r="BA699" s="109"/>
      <c r="BB699" s="109"/>
      <c r="BC699" s="109"/>
      <c r="BD699" s="109"/>
      <c r="BE699" s="109"/>
      <c r="BF699" s="109"/>
      <c r="BG699" s="109"/>
      <c r="BH699" s="109"/>
      <c r="BI699" s="109"/>
      <c r="BJ699" s="109"/>
      <c r="BK699" s="109"/>
      <c r="BL699" s="109"/>
      <c r="BM699" s="109"/>
      <c r="BN699" s="109"/>
      <c r="BO699" s="109"/>
      <c r="BP699" s="109"/>
      <c r="BQ699" s="109"/>
      <c r="BR699" s="109"/>
      <c r="BS699" s="109"/>
      <c r="BT699" s="109"/>
      <c r="BU699" s="109"/>
    </row>
    <row r="700" ht="15.75" customHeight="1">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10"/>
      <c r="X700" s="109"/>
      <c r="Y700" s="109"/>
      <c r="Z700" s="109"/>
      <c r="AA700" s="109"/>
      <c r="AB700" s="109"/>
      <c r="AC700" s="109"/>
      <c r="AD700" s="109"/>
      <c r="AE700" s="109"/>
      <c r="AF700" s="109"/>
      <c r="AG700" s="109"/>
      <c r="AH700" s="109"/>
      <c r="AI700" s="109"/>
      <c r="AJ700" s="109"/>
      <c r="AK700" s="109"/>
      <c r="AL700" s="109"/>
      <c r="AM700" s="109"/>
      <c r="AN700" s="109"/>
      <c r="AO700" s="109"/>
      <c r="AP700" s="109"/>
      <c r="AQ700" s="109"/>
      <c r="AR700" s="109"/>
      <c r="AS700" s="109"/>
      <c r="AT700" s="109"/>
      <c r="AU700" s="109"/>
      <c r="AV700" s="109"/>
      <c r="AW700" s="109"/>
      <c r="AX700" s="109"/>
      <c r="AY700" s="109"/>
      <c r="AZ700" s="109"/>
      <c r="BA700" s="109"/>
      <c r="BB700" s="109"/>
      <c r="BC700" s="109"/>
      <c r="BD700" s="109"/>
      <c r="BE700" s="109"/>
      <c r="BF700" s="109"/>
      <c r="BG700" s="109"/>
      <c r="BH700" s="109"/>
      <c r="BI700" s="109"/>
      <c r="BJ700" s="109"/>
      <c r="BK700" s="109"/>
      <c r="BL700" s="109"/>
      <c r="BM700" s="109"/>
      <c r="BN700" s="109"/>
      <c r="BO700" s="109"/>
      <c r="BP700" s="109"/>
      <c r="BQ700" s="109"/>
      <c r="BR700" s="109"/>
      <c r="BS700" s="109"/>
      <c r="BT700" s="109"/>
      <c r="BU700" s="109"/>
    </row>
    <row r="701" ht="15.75" customHeight="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10"/>
      <c r="X701" s="109"/>
      <c r="Y701" s="109"/>
      <c r="Z701" s="109"/>
      <c r="AA701" s="109"/>
      <c r="AB701" s="109"/>
      <c r="AC701" s="109"/>
      <c r="AD701" s="109"/>
      <c r="AE701" s="109"/>
      <c r="AF701" s="109"/>
      <c r="AG701" s="109"/>
      <c r="AH701" s="109"/>
      <c r="AI701" s="109"/>
      <c r="AJ701" s="109"/>
      <c r="AK701" s="109"/>
      <c r="AL701" s="109"/>
      <c r="AM701" s="109"/>
      <c r="AN701" s="109"/>
      <c r="AO701" s="109"/>
      <c r="AP701" s="109"/>
      <c r="AQ701" s="109"/>
      <c r="AR701" s="109"/>
      <c r="AS701" s="109"/>
      <c r="AT701" s="109"/>
      <c r="AU701" s="109"/>
      <c r="AV701" s="109"/>
      <c r="AW701" s="109"/>
      <c r="AX701" s="109"/>
      <c r="AY701" s="109"/>
      <c r="AZ701" s="109"/>
      <c r="BA701" s="109"/>
      <c r="BB701" s="109"/>
      <c r="BC701" s="109"/>
      <c r="BD701" s="109"/>
      <c r="BE701" s="109"/>
      <c r="BF701" s="109"/>
      <c r="BG701" s="109"/>
      <c r="BH701" s="109"/>
      <c r="BI701" s="109"/>
      <c r="BJ701" s="109"/>
      <c r="BK701" s="109"/>
      <c r="BL701" s="109"/>
      <c r="BM701" s="109"/>
      <c r="BN701" s="109"/>
      <c r="BO701" s="109"/>
      <c r="BP701" s="109"/>
      <c r="BQ701" s="109"/>
      <c r="BR701" s="109"/>
      <c r="BS701" s="109"/>
      <c r="BT701" s="109"/>
      <c r="BU701" s="109"/>
    </row>
    <row r="702" ht="15.75" customHeight="1">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10"/>
      <c r="X702" s="109"/>
      <c r="Y702" s="109"/>
      <c r="Z702" s="109"/>
      <c r="AA702" s="109"/>
      <c r="AB702" s="109"/>
      <c r="AC702" s="109"/>
      <c r="AD702" s="109"/>
      <c r="AE702" s="109"/>
      <c r="AF702" s="109"/>
      <c r="AG702" s="109"/>
      <c r="AH702" s="109"/>
      <c r="AI702" s="109"/>
      <c r="AJ702" s="109"/>
      <c r="AK702" s="109"/>
      <c r="AL702" s="109"/>
      <c r="AM702" s="109"/>
      <c r="AN702" s="109"/>
      <c r="AO702" s="109"/>
      <c r="AP702" s="109"/>
      <c r="AQ702" s="109"/>
      <c r="AR702" s="109"/>
      <c r="AS702" s="109"/>
      <c r="AT702" s="109"/>
      <c r="AU702" s="109"/>
      <c r="AV702" s="109"/>
      <c r="AW702" s="109"/>
      <c r="AX702" s="109"/>
      <c r="AY702" s="109"/>
      <c r="AZ702" s="109"/>
      <c r="BA702" s="109"/>
      <c r="BB702" s="109"/>
      <c r="BC702" s="109"/>
      <c r="BD702" s="109"/>
      <c r="BE702" s="109"/>
      <c r="BF702" s="109"/>
      <c r="BG702" s="109"/>
      <c r="BH702" s="109"/>
      <c r="BI702" s="109"/>
      <c r="BJ702" s="109"/>
      <c r="BK702" s="109"/>
      <c r="BL702" s="109"/>
      <c r="BM702" s="109"/>
      <c r="BN702" s="109"/>
      <c r="BO702" s="109"/>
      <c r="BP702" s="109"/>
      <c r="BQ702" s="109"/>
      <c r="BR702" s="109"/>
      <c r="BS702" s="109"/>
      <c r="BT702" s="109"/>
      <c r="BU702" s="109"/>
    </row>
    <row r="703" ht="15.75" customHeight="1">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10"/>
      <c r="X703" s="109"/>
      <c r="Y703" s="109"/>
      <c r="Z703" s="109"/>
      <c r="AA703" s="109"/>
      <c r="AB703" s="109"/>
      <c r="AC703" s="109"/>
      <c r="AD703" s="109"/>
      <c r="AE703" s="109"/>
      <c r="AF703" s="109"/>
      <c r="AG703" s="109"/>
      <c r="AH703" s="109"/>
      <c r="AI703" s="109"/>
      <c r="AJ703" s="109"/>
      <c r="AK703" s="109"/>
      <c r="AL703" s="109"/>
      <c r="AM703" s="109"/>
      <c r="AN703" s="109"/>
      <c r="AO703" s="109"/>
      <c r="AP703" s="109"/>
      <c r="AQ703" s="109"/>
      <c r="AR703" s="109"/>
      <c r="AS703" s="109"/>
      <c r="AT703" s="109"/>
      <c r="AU703" s="109"/>
      <c r="AV703" s="109"/>
      <c r="AW703" s="109"/>
      <c r="AX703" s="109"/>
      <c r="AY703" s="109"/>
      <c r="AZ703" s="109"/>
      <c r="BA703" s="109"/>
      <c r="BB703" s="109"/>
      <c r="BC703" s="109"/>
      <c r="BD703" s="109"/>
      <c r="BE703" s="109"/>
      <c r="BF703" s="109"/>
      <c r="BG703" s="109"/>
      <c r="BH703" s="109"/>
      <c r="BI703" s="109"/>
      <c r="BJ703" s="109"/>
      <c r="BK703" s="109"/>
      <c r="BL703" s="109"/>
      <c r="BM703" s="109"/>
      <c r="BN703" s="109"/>
      <c r="BO703" s="109"/>
      <c r="BP703" s="109"/>
      <c r="BQ703" s="109"/>
      <c r="BR703" s="109"/>
      <c r="BS703" s="109"/>
      <c r="BT703" s="109"/>
      <c r="BU703" s="109"/>
    </row>
    <row r="704" ht="15.75" customHeight="1">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10"/>
      <c r="X704" s="109"/>
      <c r="Y704" s="109"/>
      <c r="Z704" s="109"/>
      <c r="AA704" s="109"/>
      <c r="AB704" s="109"/>
      <c r="AC704" s="109"/>
      <c r="AD704" s="109"/>
      <c r="AE704" s="109"/>
      <c r="AF704" s="109"/>
      <c r="AG704" s="109"/>
      <c r="AH704" s="109"/>
      <c r="AI704" s="109"/>
      <c r="AJ704" s="109"/>
      <c r="AK704" s="109"/>
      <c r="AL704" s="109"/>
      <c r="AM704" s="109"/>
      <c r="AN704" s="109"/>
      <c r="AO704" s="109"/>
      <c r="AP704" s="109"/>
      <c r="AQ704" s="109"/>
      <c r="AR704" s="109"/>
      <c r="AS704" s="109"/>
      <c r="AT704" s="109"/>
      <c r="AU704" s="109"/>
      <c r="AV704" s="109"/>
      <c r="AW704" s="109"/>
      <c r="AX704" s="109"/>
      <c r="AY704" s="109"/>
      <c r="AZ704" s="109"/>
      <c r="BA704" s="109"/>
      <c r="BB704" s="109"/>
      <c r="BC704" s="109"/>
      <c r="BD704" s="109"/>
      <c r="BE704" s="109"/>
      <c r="BF704" s="109"/>
      <c r="BG704" s="109"/>
      <c r="BH704" s="109"/>
      <c r="BI704" s="109"/>
      <c r="BJ704" s="109"/>
      <c r="BK704" s="109"/>
      <c r="BL704" s="109"/>
      <c r="BM704" s="109"/>
      <c r="BN704" s="109"/>
      <c r="BO704" s="109"/>
      <c r="BP704" s="109"/>
      <c r="BQ704" s="109"/>
      <c r="BR704" s="109"/>
      <c r="BS704" s="109"/>
      <c r="BT704" s="109"/>
      <c r="BU704" s="109"/>
    </row>
    <row r="705" ht="15.75" customHeight="1">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10"/>
      <c r="X705" s="109"/>
      <c r="Y705" s="109"/>
      <c r="Z705" s="109"/>
      <c r="AA705" s="109"/>
      <c r="AB705" s="109"/>
      <c r="AC705" s="109"/>
      <c r="AD705" s="109"/>
      <c r="AE705" s="109"/>
      <c r="AF705" s="109"/>
      <c r="AG705" s="109"/>
      <c r="AH705" s="109"/>
      <c r="AI705" s="109"/>
      <c r="AJ705" s="109"/>
      <c r="AK705" s="109"/>
      <c r="AL705" s="109"/>
      <c r="AM705" s="109"/>
      <c r="AN705" s="109"/>
      <c r="AO705" s="109"/>
      <c r="AP705" s="109"/>
      <c r="AQ705" s="109"/>
      <c r="AR705" s="109"/>
      <c r="AS705" s="109"/>
      <c r="AT705" s="109"/>
      <c r="AU705" s="109"/>
      <c r="AV705" s="109"/>
      <c r="AW705" s="109"/>
      <c r="AX705" s="109"/>
      <c r="AY705" s="109"/>
      <c r="AZ705" s="109"/>
      <c r="BA705" s="109"/>
      <c r="BB705" s="109"/>
      <c r="BC705" s="109"/>
      <c r="BD705" s="109"/>
      <c r="BE705" s="109"/>
      <c r="BF705" s="109"/>
      <c r="BG705" s="109"/>
      <c r="BH705" s="109"/>
      <c r="BI705" s="109"/>
      <c r="BJ705" s="109"/>
      <c r="BK705" s="109"/>
      <c r="BL705" s="109"/>
      <c r="BM705" s="109"/>
      <c r="BN705" s="109"/>
      <c r="BO705" s="109"/>
      <c r="BP705" s="109"/>
      <c r="BQ705" s="109"/>
      <c r="BR705" s="109"/>
      <c r="BS705" s="109"/>
      <c r="BT705" s="109"/>
      <c r="BU705" s="109"/>
    </row>
    <row r="706" ht="15.75" customHeight="1">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10"/>
      <c r="X706" s="109"/>
      <c r="Y706" s="109"/>
      <c r="Z706" s="109"/>
      <c r="AA706" s="109"/>
      <c r="AB706" s="109"/>
      <c r="AC706" s="109"/>
      <c r="AD706" s="109"/>
      <c r="AE706" s="109"/>
      <c r="AF706" s="109"/>
      <c r="AG706" s="109"/>
      <c r="AH706" s="109"/>
      <c r="AI706" s="109"/>
      <c r="AJ706" s="109"/>
      <c r="AK706" s="109"/>
      <c r="AL706" s="109"/>
      <c r="AM706" s="109"/>
      <c r="AN706" s="109"/>
      <c r="AO706" s="109"/>
      <c r="AP706" s="109"/>
      <c r="AQ706" s="109"/>
      <c r="AR706" s="109"/>
      <c r="AS706" s="109"/>
      <c r="AT706" s="109"/>
      <c r="AU706" s="109"/>
      <c r="AV706" s="109"/>
      <c r="AW706" s="109"/>
      <c r="AX706" s="109"/>
      <c r="AY706" s="109"/>
      <c r="AZ706" s="109"/>
      <c r="BA706" s="109"/>
      <c r="BB706" s="109"/>
      <c r="BC706" s="109"/>
      <c r="BD706" s="109"/>
      <c r="BE706" s="109"/>
      <c r="BF706" s="109"/>
      <c r="BG706" s="109"/>
      <c r="BH706" s="109"/>
      <c r="BI706" s="109"/>
      <c r="BJ706" s="109"/>
      <c r="BK706" s="109"/>
      <c r="BL706" s="109"/>
      <c r="BM706" s="109"/>
      <c r="BN706" s="109"/>
      <c r="BO706" s="109"/>
      <c r="BP706" s="109"/>
      <c r="BQ706" s="109"/>
      <c r="BR706" s="109"/>
      <c r="BS706" s="109"/>
      <c r="BT706" s="109"/>
      <c r="BU706" s="109"/>
    </row>
    <row r="707" ht="15.75" customHeight="1">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10"/>
      <c r="X707" s="109"/>
      <c r="Y707" s="109"/>
      <c r="Z707" s="109"/>
      <c r="AA707" s="109"/>
      <c r="AB707" s="109"/>
      <c r="AC707" s="109"/>
      <c r="AD707" s="109"/>
      <c r="AE707" s="109"/>
      <c r="AF707" s="109"/>
      <c r="AG707" s="109"/>
      <c r="AH707" s="109"/>
      <c r="AI707" s="109"/>
      <c r="AJ707" s="109"/>
      <c r="AK707" s="109"/>
      <c r="AL707" s="109"/>
      <c r="AM707" s="109"/>
      <c r="AN707" s="109"/>
      <c r="AO707" s="109"/>
      <c r="AP707" s="109"/>
      <c r="AQ707" s="109"/>
      <c r="AR707" s="109"/>
      <c r="AS707" s="109"/>
      <c r="AT707" s="109"/>
      <c r="AU707" s="109"/>
      <c r="AV707" s="109"/>
      <c r="AW707" s="109"/>
      <c r="AX707" s="109"/>
      <c r="AY707" s="109"/>
      <c r="AZ707" s="109"/>
      <c r="BA707" s="109"/>
      <c r="BB707" s="109"/>
      <c r="BC707" s="109"/>
      <c r="BD707" s="109"/>
      <c r="BE707" s="109"/>
      <c r="BF707" s="109"/>
      <c r="BG707" s="109"/>
      <c r="BH707" s="109"/>
      <c r="BI707" s="109"/>
      <c r="BJ707" s="109"/>
      <c r="BK707" s="109"/>
      <c r="BL707" s="109"/>
      <c r="BM707" s="109"/>
      <c r="BN707" s="109"/>
      <c r="BO707" s="109"/>
      <c r="BP707" s="109"/>
      <c r="BQ707" s="109"/>
      <c r="BR707" s="109"/>
      <c r="BS707" s="109"/>
      <c r="BT707" s="109"/>
      <c r="BU707" s="109"/>
    </row>
    <row r="708" ht="15.75" customHeight="1">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10"/>
      <c r="X708" s="109"/>
      <c r="Y708" s="109"/>
      <c r="Z708" s="109"/>
      <c r="AA708" s="109"/>
      <c r="AB708" s="109"/>
      <c r="AC708" s="109"/>
      <c r="AD708" s="109"/>
      <c r="AE708" s="109"/>
      <c r="AF708" s="109"/>
      <c r="AG708" s="109"/>
      <c r="AH708" s="109"/>
      <c r="AI708" s="109"/>
      <c r="AJ708" s="109"/>
      <c r="AK708" s="109"/>
      <c r="AL708" s="109"/>
      <c r="AM708" s="109"/>
      <c r="AN708" s="109"/>
      <c r="AO708" s="109"/>
      <c r="AP708" s="109"/>
      <c r="AQ708" s="109"/>
      <c r="AR708" s="109"/>
      <c r="AS708" s="109"/>
      <c r="AT708" s="109"/>
      <c r="AU708" s="109"/>
      <c r="AV708" s="109"/>
      <c r="AW708" s="109"/>
      <c r="AX708" s="109"/>
      <c r="AY708" s="109"/>
      <c r="AZ708" s="109"/>
      <c r="BA708" s="109"/>
      <c r="BB708" s="109"/>
      <c r="BC708" s="109"/>
      <c r="BD708" s="109"/>
      <c r="BE708" s="109"/>
      <c r="BF708" s="109"/>
      <c r="BG708" s="109"/>
      <c r="BH708" s="109"/>
      <c r="BI708" s="109"/>
      <c r="BJ708" s="109"/>
      <c r="BK708" s="109"/>
      <c r="BL708" s="109"/>
      <c r="BM708" s="109"/>
      <c r="BN708" s="109"/>
      <c r="BO708" s="109"/>
      <c r="BP708" s="109"/>
      <c r="BQ708" s="109"/>
      <c r="BR708" s="109"/>
      <c r="BS708" s="109"/>
      <c r="BT708" s="109"/>
      <c r="BU708" s="109"/>
    </row>
    <row r="709" ht="15.75" customHeight="1">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10"/>
      <c r="X709" s="109"/>
      <c r="Y709" s="109"/>
      <c r="Z709" s="109"/>
      <c r="AA709" s="109"/>
      <c r="AB709" s="109"/>
      <c r="AC709" s="109"/>
      <c r="AD709" s="109"/>
      <c r="AE709" s="109"/>
      <c r="AF709" s="109"/>
      <c r="AG709" s="109"/>
      <c r="AH709" s="109"/>
      <c r="AI709" s="109"/>
      <c r="AJ709" s="109"/>
      <c r="AK709" s="109"/>
      <c r="AL709" s="109"/>
      <c r="AM709" s="109"/>
      <c r="AN709" s="109"/>
      <c r="AO709" s="109"/>
      <c r="AP709" s="109"/>
      <c r="AQ709" s="109"/>
      <c r="AR709" s="109"/>
      <c r="AS709" s="109"/>
      <c r="AT709" s="109"/>
      <c r="AU709" s="109"/>
      <c r="AV709" s="109"/>
      <c r="AW709" s="109"/>
      <c r="AX709" s="109"/>
      <c r="AY709" s="109"/>
      <c r="AZ709" s="109"/>
      <c r="BA709" s="109"/>
      <c r="BB709" s="109"/>
      <c r="BC709" s="109"/>
      <c r="BD709" s="109"/>
      <c r="BE709" s="109"/>
      <c r="BF709" s="109"/>
      <c r="BG709" s="109"/>
      <c r="BH709" s="109"/>
      <c r="BI709" s="109"/>
      <c r="BJ709" s="109"/>
      <c r="BK709" s="109"/>
      <c r="BL709" s="109"/>
      <c r="BM709" s="109"/>
      <c r="BN709" s="109"/>
      <c r="BO709" s="109"/>
      <c r="BP709" s="109"/>
      <c r="BQ709" s="109"/>
      <c r="BR709" s="109"/>
      <c r="BS709" s="109"/>
      <c r="BT709" s="109"/>
      <c r="BU709" s="109"/>
    </row>
    <row r="710" ht="15.75" customHeight="1">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10"/>
      <c r="X710" s="109"/>
      <c r="Y710" s="109"/>
      <c r="Z710" s="109"/>
      <c r="AA710" s="109"/>
      <c r="AB710" s="109"/>
      <c r="AC710" s="109"/>
      <c r="AD710" s="109"/>
      <c r="AE710" s="109"/>
      <c r="AF710" s="109"/>
      <c r="AG710" s="109"/>
      <c r="AH710" s="109"/>
      <c r="AI710" s="109"/>
      <c r="AJ710" s="109"/>
      <c r="AK710" s="109"/>
      <c r="AL710" s="109"/>
      <c r="AM710" s="109"/>
      <c r="AN710" s="109"/>
      <c r="AO710" s="109"/>
      <c r="AP710" s="109"/>
      <c r="AQ710" s="109"/>
      <c r="AR710" s="109"/>
      <c r="AS710" s="109"/>
      <c r="AT710" s="109"/>
      <c r="AU710" s="109"/>
      <c r="AV710" s="109"/>
      <c r="AW710" s="109"/>
      <c r="AX710" s="109"/>
      <c r="AY710" s="109"/>
      <c r="AZ710" s="109"/>
      <c r="BA710" s="109"/>
      <c r="BB710" s="109"/>
      <c r="BC710" s="109"/>
      <c r="BD710" s="109"/>
      <c r="BE710" s="109"/>
      <c r="BF710" s="109"/>
      <c r="BG710" s="109"/>
      <c r="BH710" s="109"/>
      <c r="BI710" s="109"/>
      <c r="BJ710" s="109"/>
      <c r="BK710" s="109"/>
      <c r="BL710" s="109"/>
      <c r="BM710" s="109"/>
      <c r="BN710" s="109"/>
      <c r="BO710" s="109"/>
      <c r="BP710" s="109"/>
      <c r="BQ710" s="109"/>
      <c r="BR710" s="109"/>
      <c r="BS710" s="109"/>
      <c r="BT710" s="109"/>
      <c r="BU710" s="109"/>
    </row>
    <row r="711" ht="15.75" customHeight="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10"/>
      <c r="X711" s="109"/>
      <c r="Y711" s="109"/>
      <c r="Z711" s="109"/>
      <c r="AA711" s="109"/>
      <c r="AB711" s="109"/>
      <c r="AC711" s="109"/>
      <c r="AD711" s="109"/>
      <c r="AE711" s="109"/>
      <c r="AF711" s="109"/>
      <c r="AG711" s="109"/>
      <c r="AH711" s="109"/>
      <c r="AI711" s="109"/>
      <c r="AJ711" s="109"/>
      <c r="AK711" s="109"/>
      <c r="AL711" s="109"/>
      <c r="AM711" s="109"/>
      <c r="AN711" s="109"/>
      <c r="AO711" s="109"/>
      <c r="AP711" s="109"/>
      <c r="AQ711" s="109"/>
      <c r="AR711" s="109"/>
      <c r="AS711" s="109"/>
      <c r="AT711" s="109"/>
      <c r="AU711" s="109"/>
      <c r="AV711" s="109"/>
      <c r="AW711" s="109"/>
      <c r="AX711" s="109"/>
      <c r="AY711" s="109"/>
      <c r="AZ711" s="109"/>
      <c r="BA711" s="109"/>
      <c r="BB711" s="109"/>
      <c r="BC711" s="109"/>
      <c r="BD711" s="109"/>
      <c r="BE711" s="109"/>
      <c r="BF711" s="109"/>
      <c r="BG711" s="109"/>
      <c r="BH711" s="109"/>
      <c r="BI711" s="109"/>
      <c r="BJ711" s="109"/>
      <c r="BK711" s="109"/>
      <c r="BL711" s="109"/>
      <c r="BM711" s="109"/>
      <c r="BN711" s="109"/>
      <c r="BO711" s="109"/>
      <c r="BP711" s="109"/>
      <c r="BQ711" s="109"/>
      <c r="BR711" s="109"/>
      <c r="BS711" s="109"/>
      <c r="BT711" s="109"/>
      <c r="BU711" s="109"/>
    </row>
    <row r="712" ht="15.75" customHeight="1">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10"/>
      <c r="X712" s="109"/>
      <c r="Y712" s="109"/>
      <c r="Z712" s="109"/>
      <c r="AA712" s="109"/>
      <c r="AB712" s="109"/>
      <c r="AC712" s="109"/>
      <c r="AD712" s="109"/>
      <c r="AE712" s="109"/>
      <c r="AF712" s="109"/>
      <c r="AG712" s="109"/>
      <c r="AH712" s="109"/>
      <c r="AI712" s="109"/>
      <c r="AJ712" s="109"/>
      <c r="AK712" s="109"/>
      <c r="AL712" s="109"/>
      <c r="AM712" s="109"/>
      <c r="AN712" s="109"/>
      <c r="AO712" s="109"/>
      <c r="AP712" s="109"/>
      <c r="AQ712" s="109"/>
      <c r="AR712" s="109"/>
      <c r="AS712" s="109"/>
      <c r="AT712" s="109"/>
      <c r="AU712" s="109"/>
      <c r="AV712" s="109"/>
      <c r="AW712" s="109"/>
      <c r="AX712" s="109"/>
      <c r="AY712" s="109"/>
      <c r="AZ712" s="109"/>
      <c r="BA712" s="109"/>
      <c r="BB712" s="109"/>
      <c r="BC712" s="109"/>
      <c r="BD712" s="109"/>
      <c r="BE712" s="109"/>
      <c r="BF712" s="109"/>
      <c r="BG712" s="109"/>
      <c r="BH712" s="109"/>
      <c r="BI712" s="109"/>
      <c r="BJ712" s="109"/>
      <c r="BK712" s="109"/>
      <c r="BL712" s="109"/>
      <c r="BM712" s="109"/>
      <c r="BN712" s="109"/>
      <c r="BO712" s="109"/>
      <c r="BP712" s="109"/>
      <c r="BQ712" s="109"/>
      <c r="BR712" s="109"/>
      <c r="BS712" s="109"/>
      <c r="BT712" s="109"/>
      <c r="BU712" s="109"/>
    </row>
    <row r="713" ht="15.75" customHeight="1">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10"/>
      <c r="X713" s="109"/>
      <c r="Y713" s="109"/>
      <c r="Z713" s="109"/>
      <c r="AA713" s="109"/>
      <c r="AB713" s="109"/>
      <c r="AC713" s="109"/>
      <c r="AD713" s="109"/>
      <c r="AE713" s="109"/>
      <c r="AF713" s="109"/>
      <c r="AG713" s="109"/>
      <c r="AH713" s="109"/>
      <c r="AI713" s="109"/>
      <c r="AJ713" s="109"/>
      <c r="AK713" s="109"/>
      <c r="AL713" s="109"/>
      <c r="AM713" s="109"/>
      <c r="AN713" s="109"/>
      <c r="AO713" s="109"/>
      <c r="AP713" s="109"/>
      <c r="AQ713" s="109"/>
      <c r="AR713" s="109"/>
      <c r="AS713" s="109"/>
      <c r="AT713" s="109"/>
      <c r="AU713" s="109"/>
      <c r="AV713" s="109"/>
      <c r="AW713" s="109"/>
      <c r="AX713" s="109"/>
      <c r="AY713" s="109"/>
      <c r="AZ713" s="109"/>
      <c r="BA713" s="109"/>
      <c r="BB713" s="109"/>
      <c r="BC713" s="109"/>
      <c r="BD713" s="109"/>
      <c r="BE713" s="109"/>
      <c r="BF713" s="109"/>
      <c r="BG713" s="109"/>
      <c r="BH713" s="109"/>
      <c r="BI713" s="109"/>
      <c r="BJ713" s="109"/>
      <c r="BK713" s="109"/>
      <c r="BL713" s="109"/>
      <c r="BM713" s="109"/>
      <c r="BN713" s="109"/>
      <c r="BO713" s="109"/>
      <c r="BP713" s="109"/>
      <c r="BQ713" s="109"/>
      <c r="BR713" s="109"/>
      <c r="BS713" s="109"/>
      <c r="BT713" s="109"/>
      <c r="BU713" s="109"/>
    </row>
    <row r="714" ht="15.75" customHeight="1">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10"/>
      <c r="X714" s="109"/>
      <c r="Y714" s="109"/>
      <c r="Z714" s="109"/>
      <c r="AA714" s="109"/>
      <c r="AB714" s="109"/>
      <c r="AC714" s="109"/>
      <c r="AD714" s="109"/>
      <c r="AE714" s="109"/>
      <c r="AF714" s="109"/>
      <c r="AG714" s="109"/>
      <c r="AH714" s="109"/>
      <c r="AI714" s="109"/>
      <c r="AJ714" s="109"/>
      <c r="AK714" s="109"/>
      <c r="AL714" s="109"/>
      <c r="AM714" s="109"/>
      <c r="AN714" s="109"/>
      <c r="AO714" s="109"/>
      <c r="AP714" s="109"/>
      <c r="AQ714" s="109"/>
      <c r="AR714" s="109"/>
      <c r="AS714" s="109"/>
      <c r="AT714" s="109"/>
      <c r="AU714" s="109"/>
      <c r="AV714" s="109"/>
      <c r="AW714" s="109"/>
      <c r="AX714" s="109"/>
      <c r="AY714" s="109"/>
      <c r="AZ714" s="109"/>
      <c r="BA714" s="109"/>
      <c r="BB714" s="109"/>
      <c r="BC714" s="109"/>
      <c r="BD714" s="109"/>
      <c r="BE714" s="109"/>
      <c r="BF714" s="109"/>
      <c r="BG714" s="109"/>
      <c r="BH714" s="109"/>
      <c r="BI714" s="109"/>
      <c r="BJ714" s="109"/>
      <c r="BK714" s="109"/>
      <c r="BL714" s="109"/>
      <c r="BM714" s="109"/>
      <c r="BN714" s="109"/>
      <c r="BO714" s="109"/>
      <c r="BP714" s="109"/>
      <c r="BQ714" s="109"/>
      <c r="BR714" s="109"/>
      <c r="BS714" s="109"/>
      <c r="BT714" s="109"/>
      <c r="BU714" s="109"/>
    </row>
    <row r="715" ht="15.75" customHeight="1">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10"/>
      <c r="X715" s="109"/>
      <c r="Y715" s="109"/>
      <c r="Z715" s="109"/>
      <c r="AA715" s="109"/>
      <c r="AB715" s="109"/>
      <c r="AC715" s="109"/>
      <c r="AD715" s="109"/>
      <c r="AE715" s="109"/>
      <c r="AF715" s="109"/>
      <c r="AG715" s="109"/>
      <c r="AH715" s="109"/>
      <c r="AI715" s="109"/>
      <c r="AJ715" s="109"/>
      <c r="AK715" s="109"/>
      <c r="AL715" s="109"/>
      <c r="AM715" s="109"/>
      <c r="AN715" s="109"/>
      <c r="AO715" s="109"/>
      <c r="AP715" s="109"/>
      <c r="AQ715" s="109"/>
      <c r="AR715" s="109"/>
      <c r="AS715" s="109"/>
      <c r="AT715" s="109"/>
      <c r="AU715" s="109"/>
      <c r="AV715" s="109"/>
      <c r="AW715" s="109"/>
      <c r="AX715" s="109"/>
      <c r="AY715" s="109"/>
      <c r="AZ715" s="109"/>
      <c r="BA715" s="109"/>
      <c r="BB715" s="109"/>
      <c r="BC715" s="109"/>
      <c r="BD715" s="109"/>
      <c r="BE715" s="109"/>
      <c r="BF715" s="109"/>
      <c r="BG715" s="109"/>
      <c r="BH715" s="109"/>
      <c r="BI715" s="109"/>
      <c r="BJ715" s="109"/>
      <c r="BK715" s="109"/>
      <c r="BL715" s="109"/>
      <c r="BM715" s="109"/>
      <c r="BN715" s="109"/>
      <c r="BO715" s="109"/>
      <c r="BP715" s="109"/>
      <c r="BQ715" s="109"/>
      <c r="BR715" s="109"/>
      <c r="BS715" s="109"/>
      <c r="BT715" s="109"/>
      <c r="BU715" s="109"/>
    </row>
    <row r="716" ht="15.75" customHeight="1">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10"/>
      <c r="X716" s="109"/>
      <c r="Y716" s="109"/>
      <c r="Z716" s="109"/>
      <c r="AA716" s="109"/>
      <c r="AB716" s="109"/>
      <c r="AC716" s="109"/>
      <c r="AD716" s="109"/>
      <c r="AE716" s="109"/>
      <c r="AF716" s="109"/>
      <c r="AG716" s="109"/>
      <c r="AH716" s="109"/>
      <c r="AI716" s="109"/>
      <c r="AJ716" s="109"/>
      <c r="AK716" s="109"/>
      <c r="AL716" s="109"/>
      <c r="AM716" s="109"/>
      <c r="AN716" s="109"/>
      <c r="AO716" s="109"/>
      <c r="AP716" s="109"/>
      <c r="AQ716" s="109"/>
      <c r="AR716" s="109"/>
      <c r="AS716" s="109"/>
      <c r="AT716" s="109"/>
      <c r="AU716" s="109"/>
      <c r="AV716" s="109"/>
      <c r="AW716" s="109"/>
      <c r="AX716" s="109"/>
      <c r="AY716" s="109"/>
      <c r="AZ716" s="109"/>
      <c r="BA716" s="109"/>
      <c r="BB716" s="109"/>
      <c r="BC716" s="109"/>
      <c r="BD716" s="109"/>
      <c r="BE716" s="109"/>
      <c r="BF716" s="109"/>
      <c r="BG716" s="109"/>
      <c r="BH716" s="109"/>
      <c r="BI716" s="109"/>
      <c r="BJ716" s="109"/>
      <c r="BK716" s="109"/>
      <c r="BL716" s="109"/>
      <c r="BM716" s="109"/>
      <c r="BN716" s="109"/>
      <c r="BO716" s="109"/>
      <c r="BP716" s="109"/>
      <c r="BQ716" s="109"/>
      <c r="BR716" s="109"/>
      <c r="BS716" s="109"/>
      <c r="BT716" s="109"/>
      <c r="BU716" s="109"/>
    </row>
    <row r="717" ht="15.75" customHeight="1">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10"/>
      <c r="X717" s="109"/>
      <c r="Y717" s="109"/>
      <c r="Z717" s="109"/>
      <c r="AA717" s="109"/>
      <c r="AB717" s="109"/>
      <c r="AC717" s="109"/>
      <c r="AD717" s="109"/>
      <c r="AE717" s="109"/>
      <c r="AF717" s="109"/>
      <c r="AG717" s="109"/>
      <c r="AH717" s="109"/>
      <c r="AI717" s="109"/>
      <c r="AJ717" s="109"/>
      <c r="AK717" s="109"/>
      <c r="AL717" s="109"/>
      <c r="AM717" s="109"/>
      <c r="AN717" s="109"/>
      <c r="AO717" s="109"/>
      <c r="AP717" s="109"/>
      <c r="AQ717" s="109"/>
      <c r="AR717" s="109"/>
      <c r="AS717" s="109"/>
      <c r="AT717" s="109"/>
      <c r="AU717" s="109"/>
      <c r="AV717" s="109"/>
      <c r="AW717" s="109"/>
      <c r="AX717" s="109"/>
      <c r="AY717" s="109"/>
      <c r="AZ717" s="109"/>
      <c r="BA717" s="109"/>
      <c r="BB717" s="109"/>
      <c r="BC717" s="109"/>
      <c r="BD717" s="109"/>
      <c r="BE717" s="109"/>
      <c r="BF717" s="109"/>
      <c r="BG717" s="109"/>
      <c r="BH717" s="109"/>
      <c r="BI717" s="109"/>
      <c r="BJ717" s="109"/>
      <c r="BK717" s="109"/>
      <c r="BL717" s="109"/>
      <c r="BM717" s="109"/>
      <c r="BN717" s="109"/>
      <c r="BO717" s="109"/>
      <c r="BP717" s="109"/>
      <c r="BQ717" s="109"/>
      <c r="BR717" s="109"/>
      <c r="BS717" s="109"/>
      <c r="BT717" s="109"/>
      <c r="BU717" s="109"/>
    </row>
    <row r="718" ht="15.75" customHeight="1">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10"/>
      <c r="X718" s="109"/>
      <c r="Y718" s="109"/>
      <c r="Z718" s="109"/>
      <c r="AA718" s="109"/>
      <c r="AB718" s="109"/>
      <c r="AC718" s="109"/>
      <c r="AD718" s="109"/>
      <c r="AE718" s="109"/>
      <c r="AF718" s="109"/>
      <c r="AG718" s="109"/>
      <c r="AH718" s="109"/>
      <c r="AI718" s="109"/>
      <c r="AJ718" s="109"/>
      <c r="AK718" s="109"/>
      <c r="AL718" s="109"/>
      <c r="AM718" s="109"/>
      <c r="AN718" s="109"/>
      <c r="AO718" s="109"/>
      <c r="AP718" s="109"/>
      <c r="AQ718" s="109"/>
      <c r="AR718" s="109"/>
      <c r="AS718" s="109"/>
      <c r="AT718" s="109"/>
      <c r="AU718" s="109"/>
      <c r="AV718" s="109"/>
      <c r="AW718" s="109"/>
      <c r="AX718" s="109"/>
      <c r="AY718" s="109"/>
      <c r="AZ718" s="109"/>
      <c r="BA718" s="109"/>
      <c r="BB718" s="109"/>
      <c r="BC718" s="109"/>
      <c r="BD718" s="109"/>
      <c r="BE718" s="109"/>
      <c r="BF718" s="109"/>
      <c r="BG718" s="109"/>
      <c r="BH718" s="109"/>
      <c r="BI718" s="109"/>
      <c r="BJ718" s="109"/>
      <c r="BK718" s="109"/>
      <c r="BL718" s="109"/>
      <c r="BM718" s="109"/>
      <c r="BN718" s="109"/>
      <c r="BO718" s="109"/>
      <c r="BP718" s="109"/>
      <c r="BQ718" s="109"/>
      <c r="BR718" s="109"/>
      <c r="BS718" s="109"/>
      <c r="BT718" s="109"/>
      <c r="BU718" s="109"/>
    </row>
    <row r="719" ht="15.75" customHeight="1">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10"/>
      <c r="X719" s="109"/>
      <c r="Y719" s="109"/>
      <c r="Z719" s="109"/>
      <c r="AA719" s="109"/>
      <c r="AB719" s="109"/>
      <c r="AC719" s="109"/>
      <c r="AD719" s="109"/>
      <c r="AE719" s="109"/>
      <c r="AF719" s="109"/>
      <c r="AG719" s="109"/>
      <c r="AH719" s="109"/>
      <c r="AI719" s="109"/>
      <c r="AJ719" s="109"/>
      <c r="AK719" s="109"/>
      <c r="AL719" s="109"/>
      <c r="AM719" s="109"/>
      <c r="AN719" s="109"/>
      <c r="AO719" s="109"/>
      <c r="AP719" s="109"/>
      <c r="AQ719" s="109"/>
      <c r="AR719" s="109"/>
      <c r="AS719" s="109"/>
      <c r="AT719" s="109"/>
      <c r="AU719" s="109"/>
      <c r="AV719" s="109"/>
      <c r="AW719" s="109"/>
      <c r="AX719" s="109"/>
      <c r="AY719" s="109"/>
      <c r="AZ719" s="109"/>
      <c r="BA719" s="109"/>
      <c r="BB719" s="109"/>
      <c r="BC719" s="109"/>
      <c r="BD719" s="109"/>
      <c r="BE719" s="109"/>
      <c r="BF719" s="109"/>
      <c r="BG719" s="109"/>
      <c r="BH719" s="109"/>
      <c r="BI719" s="109"/>
      <c r="BJ719" s="109"/>
      <c r="BK719" s="109"/>
      <c r="BL719" s="109"/>
      <c r="BM719" s="109"/>
      <c r="BN719" s="109"/>
      <c r="BO719" s="109"/>
      <c r="BP719" s="109"/>
      <c r="BQ719" s="109"/>
      <c r="BR719" s="109"/>
      <c r="BS719" s="109"/>
      <c r="BT719" s="109"/>
      <c r="BU719" s="109"/>
    </row>
    <row r="720" ht="15.75" customHeight="1">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10"/>
      <c r="X720" s="109"/>
      <c r="Y720" s="109"/>
      <c r="Z720" s="109"/>
      <c r="AA720" s="109"/>
      <c r="AB720" s="109"/>
      <c r="AC720" s="109"/>
      <c r="AD720" s="109"/>
      <c r="AE720" s="109"/>
      <c r="AF720" s="109"/>
      <c r="AG720" s="109"/>
      <c r="AH720" s="109"/>
      <c r="AI720" s="109"/>
      <c r="AJ720" s="109"/>
      <c r="AK720" s="109"/>
      <c r="AL720" s="109"/>
      <c r="AM720" s="109"/>
      <c r="AN720" s="109"/>
      <c r="AO720" s="109"/>
      <c r="AP720" s="109"/>
      <c r="AQ720" s="109"/>
      <c r="AR720" s="109"/>
      <c r="AS720" s="109"/>
      <c r="AT720" s="109"/>
      <c r="AU720" s="109"/>
      <c r="AV720" s="109"/>
      <c r="AW720" s="109"/>
      <c r="AX720" s="109"/>
      <c r="AY720" s="109"/>
      <c r="AZ720" s="109"/>
      <c r="BA720" s="109"/>
      <c r="BB720" s="109"/>
      <c r="BC720" s="109"/>
      <c r="BD720" s="109"/>
      <c r="BE720" s="109"/>
      <c r="BF720" s="109"/>
      <c r="BG720" s="109"/>
      <c r="BH720" s="109"/>
      <c r="BI720" s="109"/>
      <c r="BJ720" s="109"/>
      <c r="BK720" s="109"/>
      <c r="BL720" s="109"/>
      <c r="BM720" s="109"/>
      <c r="BN720" s="109"/>
      <c r="BO720" s="109"/>
      <c r="BP720" s="109"/>
      <c r="BQ720" s="109"/>
      <c r="BR720" s="109"/>
      <c r="BS720" s="109"/>
      <c r="BT720" s="109"/>
      <c r="BU720" s="109"/>
    </row>
    <row r="721" ht="15.75" customHeight="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10"/>
      <c r="X721" s="109"/>
      <c r="Y721" s="109"/>
      <c r="Z721" s="109"/>
      <c r="AA721" s="109"/>
      <c r="AB721" s="109"/>
      <c r="AC721" s="109"/>
      <c r="AD721" s="109"/>
      <c r="AE721" s="109"/>
      <c r="AF721" s="109"/>
      <c r="AG721" s="109"/>
      <c r="AH721" s="109"/>
      <c r="AI721" s="109"/>
      <c r="AJ721" s="109"/>
      <c r="AK721" s="109"/>
      <c r="AL721" s="109"/>
      <c r="AM721" s="109"/>
      <c r="AN721" s="109"/>
      <c r="AO721" s="109"/>
      <c r="AP721" s="109"/>
      <c r="AQ721" s="109"/>
      <c r="AR721" s="109"/>
      <c r="AS721" s="109"/>
      <c r="AT721" s="109"/>
      <c r="AU721" s="109"/>
      <c r="AV721" s="109"/>
      <c r="AW721" s="109"/>
      <c r="AX721" s="109"/>
      <c r="AY721" s="109"/>
      <c r="AZ721" s="109"/>
      <c r="BA721" s="109"/>
      <c r="BB721" s="109"/>
      <c r="BC721" s="109"/>
      <c r="BD721" s="109"/>
      <c r="BE721" s="109"/>
      <c r="BF721" s="109"/>
      <c r="BG721" s="109"/>
      <c r="BH721" s="109"/>
      <c r="BI721" s="109"/>
      <c r="BJ721" s="109"/>
      <c r="BK721" s="109"/>
      <c r="BL721" s="109"/>
      <c r="BM721" s="109"/>
      <c r="BN721" s="109"/>
      <c r="BO721" s="109"/>
      <c r="BP721" s="109"/>
      <c r="BQ721" s="109"/>
      <c r="BR721" s="109"/>
      <c r="BS721" s="109"/>
      <c r="BT721" s="109"/>
      <c r="BU721" s="109"/>
    </row>
    <row r="722" ht="15.75" customHeight="1">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10"/>
      <c r="X722" s="109"/>
      <c r="Y722" s="109"/>
      <c r="Z722" s="109"/>
      <c r="AA722" s="109"/>
      <c r="AB722" s="109"/>
      <c r="AC722" s="109"/>
      <c r="AD722" s="109"/>
      <c r="AE722" s="109"/>
      <c r="AF722" s="109"/>
      <c r="AG722" s="109"/>
      <c r="AH722" s="109"/>
      <c r="AI722" s="109"/>
      <c r="AJ722" s="109"/>
      <c r="AK722" s="109"/>
      <c r="AL722" s="109"/>
      <c r="AM722" s="109"/>
      <c r="AN722" s="109"/>
      <c r="AO722" s="109"/>
      <c r="AP722" s="109"/>
      <c r="AQ722" s="109"/>
      <c r="AR722" s="109"/>
      <c r="AS722" s="109"/>
      <c r="AT722" s="109"/>
      <c r="AU722" s="109"/>
      <c r="AV722" s="109"/>
      <c r="AW722" s="109"/>
      <c r="AX722" s="109"/>
      <c r="AY722" s="109"/>
      <c r="AZ722" s="109"/>
      <c r="BA722" s="109"/>
      <c r="BB722" s="109"/>
      <c r="BC722" s="109"/>
      <c r="BD722" s="109"/>
      <c r="BE722" s="109"/>
      <c r="BF722" s="109"/>
      <c r="BG722" s="109"/>
      <c r="BH722" s="109"/>
      <c r="BI722" s="109"/>
      <c r="BJ722" s="109"/>
      <c r="BK722" s="109"/>
      <c r="BL722" s="109"/>
      <c r="BM722" s="109"/>
      <c r="BN722" s="109"/>
      <c r="BO722" s="109"/>
      <c r="BP722" s="109"/>
      <c r="BQ722" s="109"/>
      <c r="BR722" s="109"/>
      <c r="BS722" s="109"/>
      <c r="BT722" s="109"/>
      <c r="BU722" s="109"/>
    </row>
    <row r="723" ht="15.75" customHeight="1">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10"/>
      <c r="X723" s="109"/>
      <c r="Y723" s="109"/>
      <c r="Z723" s="109"/>
      <c r="AA723" s="109"/>
      <c r="AB723" s="109"/>
      <c r="AC723" s="109"/>
      <c r="AD723" s="109"/>
      <c r="AE723" s="109"/>
      <c r="AF723" s="109"/>
      <c r="AG723" s="109"/>
      <c r="AH723" s="109"/>
      <c r="AI723" s="109"/>
      <c r="AJ723" s="109"/>
      <c r="AK723" s="109"/>
      <c r="AL723" s="109"/>
      <c r="AM723" s="109"/>
      <c r="AN723" s="109"/>
      <c r="AO723" s="109"/>
      <c r="AP723" s="109"/>
      <c r="AQ723" s="109"/>
      <c r="AR723" s="109"/>
      <c r="AS723" s="109"/>
      <c r="AT723" s="109"/>
      <c r="AU723" s="109"/>
      <c r="AV723" s="109"/>
      <c r="AW723" s="109"/>
      <c r="AX723" s="109"/>
      <c r="AY723" s="109"/>
      <c r="AZ723" s="109"/>
      <c r="BA723" s="109"/>
      <c r="BB723" s="109"/>
      <c r="BC723" s="109"/>
      <c r="BD723" s="109"/>
      <c r="BE723" s="109"/>
      <c r="BF723" s="109"/>
      <c r="BG723" s="109"/>
      <c r="BH723" s="109"/>
      <c r="BI723" s="109"/>
      <c r="BJ723" s="109"/>
      <c r="BK723" s="109"/>
      <c r="BL723" s="109"/>
      <c r="BM723" s="109"/>
      <c r="BN723" s="109"/>
      <c r="BO723" s="109"/>
      <c r="BP723" s="109"/>
      <c r="BQ723" s="109"/>
      <c r="BR723" s="109"/>
      <c r="BS723" s="109"/>
      <c r="BT723" s="109"/>
      <c r="BU723" s="109"/>
    </row>
    <row r="724" ht="15.75" customHeight="1">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10"/>
      <c r="X724" s="109"/>
      <c r="Y724" s="109"/>
      <c r="Z724" s="109"/>
      <c r="AA724" s="109"/>
      <c r="AB724" s="109"/>
      <c r="AC724" s="109"/>
      <c r="AD724" s="109"/>
      <c r="AE724" s="109"/>
      <c r="AF724" s="109"/>
      <c r="AG724" s="109"/>
      <c r="AH724" s="109"/>
      <c r="AI724" s="109"/>
      <c r="AJ724" s="109"/>
      <c r="AK724" s="109"/>
      <c r="AL724" s="109"/>
      <c r="AM724" s="109"/>
      <c r="AN724" s="109"/>
      <c r="AO724" s="109"/>
      <c r="AP724" s="109"/>
      <c r="AQ724" s="109"/>
      <c r="AR724" s="109"/>
      <c r="AS724" s="109"/>
      <c r="AT724" s="109"/>
      <c r="AU724" s="109"/>
      <c r="AV724" s="109"/>
      <c r="AW724" s="109"/>
      <c r="AX724" s="109"/>
      <c r="AY724" s="109"/>
      <c r="AZ724" s="109"/>
      <c r="BA724" s="109"/>
      <c r="BB724" s="109"/>
      <c r="BC724" s="109"/>
      <c r="BD724" s="109"/>
      <c r="BE724" s="109"/>
      <c r="BF724" s="109"/>
      <c r="BG724" s="109"/>
      <c r="BH724" s="109"/>
      <c r="BI724" s="109"/>
      <c r="BJ724" s="109"/>
      <c r="BK724" s="109"/>
      <c r="BL724" s="109"/>
      <c r="BM724" s="109"/>
      <c r="BN724" s="109"/>
      <c r="BO724" s="109"/>
      <c r="BP724" s="109"/>
      <c r="BQ724" s="109"/>
      <c r="BR724" s="109"/>
      <c r="BS724" s="109"/>
      <c r="BT724" s="109"/>
      <c r="BU724" s="109"/>
    </row>
    <row r="725" ht="15.75" customHeight="1">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10"/>
      <c r="X725" s="109"/>
      <c r="Y725" s="109"/>
      <c r="Z725" s="109"/>
      <c r="AA725" s="109"/>
      <c r="AB725" s="109"/>
      <c r="AC725" s="109"/>
      <c r="AD725" s="109"/>
      <c r="AE725" s="109"/>
      <c r="AF725" s="109"/>
      <c r="AG725" s="109"/>
      <c r="AH725" s="109"/>
      <c r="AI725" s="109"/>
      <c r="AJ725" s="109"/>
      <c r="AK725" s="109"/>
      <c r="AL725" s="109"/>
      <c r="AM725" s="109"/>
      <c r="AN725" s="109"/>
      <c r="AO725" s="109"/>
      <c r="AP725" s="109"/>
      <c r="AQ725" s="109"/>
      <c r="AR725" s="109"/>
      <c r="AS725" s="109"/>
      <c r="AT725" s="109"/>
      <c r="AU725" s="109"/>
      <c r="AV725" s="109"/>
      <c r="AW725" s="109"/>
      <c r="AX725" s="109"/>
      <c r="AY725" s="109"/>
      <c r="AZ725" s="109"/>
      <c r="BA725" s="109"/>
      <c r="BB725" s="109"/>
      <c r="BC725" s="109"/>
      <c r="BD725" s="109"/>
      <c r="BE725" s="109"/>
      <c r="BF725" s="109"/>
      <c r="BG725" s="109"/>
      <c r="BH725" s="109"/>
      <c r="BI725" s="109"/>
      <c r="BJ725" s="109"/>
      <c r="BK725" s="109"/>
      <c r="BL725" s="109"/>
      <c r="BM725" s="109"/>
      <c r="BN725" s="109"/>
      <c r="BO725" s="109"/>
      <c r="BP725" s="109"/>
      <c r="BQ725" s="109"/>
      <c r="BR725" s="109"/>
      <c r="BS725" s="109"/>
      <c r="BT725" s="109"/>
      <c r="BU725" s="109"/>
    </row>
    <row r="726" ht="15.75" customHeight="1">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10"/>
      <c r="X726" s="109"/>
      <c r="Y726" s="109"/>
      <c r="Z726" s="109"/>
      <c r="AA726" s="109"/>
      <c r="AB726" s="109"/>
      <c r="AC726" s="109"/>
      <c r="AD726" s="109"/>
      <c r="AE726" s="109"/>
      <c r="AF726" s="109"/>
      <c r="AG726" s="109"/>
      <c r="AH726" s="109"/>
      <c r="AI726" s="109"/>
      <c r="AJ726" s="109"/>
      <c r="AK726" s="109"/>
      <c r="AL726" s="109"/>
      <c r="AM726" s="109"/>
      <c r="AN726" s="109"/>
      <c r="AO726" s="109"/>
      <c r="AP726" s="109"/>
      <c r="AQ726" s="109"/>
      <c r="AR726" s="109"/>
      <c r="AS726" s="109"/>
      <c r="AT726" s="109"/>
      <c r="AU726" s="109"/>
      <c r="AV726" s="109"/>
      <c r="AW726" s="109"/>
      <c r="AX726" s="109"/>
      <c r="AY726" s="109"/>
      <c r="AZ726" s="109"/>
      <c r="BA726" s="109"/>
      <c r="BB726" s="109"/>
      <c r="BC726" s="109"/>
      <c r="BD726" s="109"/>
      <c r="BE726" s="109"/>
      <c r="BF726" s="109"/>
      <c r="BG726" s="109"/>
      <c r="BH726" s="109"/>
      <c r="BI726" s="109"/>
      <c r="BJ726" s="109"/>
      <c r="BK726" s="109"/>
      <c r="BL726" s="109"/>
      <c r="BM726" s="109"/>
      <c r="BN726" s="109"/>
      <c r="BO726" s="109"/>
      <c r="BP726" s="109"/>
      <c r="BQ726" s="109"/>
      <c r="BR726" s="109"/>
      <c r="BS726" s="109"/>
      <c r="BT726" s="109"/>
      <c r="BU726" s="109"/>
    </row>
    <row r="727" ht="15.75" customHeight="1">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10"/>
      <c r="X727" s="109"/>
      <c r="Y727" s="109"/>
      <c r="Z727" s="109"/>
      <c r="AA727" s="109"/>
      <c r="AB727" s="109"/>
      <c r="AC727" s="109"/>
      <c r="AD727" s="109"/>
      <c r="AE727" s="109"/>
      <c r="AF727" s="109"/>
      <c r="AG727" s="109"/>
      <c r="AH727" s="109"/>
      <c r="AI727" s="109"/>
      <c r="AJ727" s="109"/>
      <c r="AK727" s="109"/>
      <c r="AL727" s="109"/>
      <c r="AM727" s="109"/>
      <c r="AN727" s="109"/>
      <c r="AO727" s="109"/>
      <c r="AP727" s="109"/>
      <c r="AQ727" s="109"/>
      <c r="AR727" s="109"/>
      <c r="AS727" s="109"/>
      <c r="AT727" s="109"/>
      <c r="AU727" s="109"/>
      <c r="AV727" s="109"/>
      <c r="AW727" s="109"/>
      <c r="AX727" s="109"/>
      <c r="AY727" s="109"/>
      <c r="AZ727" s="109"/>
      <c r="BA727" s="109"/>
      <c r="BB727" s="109"/>
      <c r="BC727" s="109"/>
      <c r="BD727" s="109"/>
      <c r="BE727" s="109"/>
      <c r="BF727" s="109"/>
      <c r="BG727" s="109"/>
      <c r="BH727" s="109"/>
      <c r="BI727" s="109"/>
      <c r="BJ727" s="109"/>
      <c r="BK727" s="109"/>
      <c r="BL727" s="109"/>
      <c r="BM727" s="109"/>
      <c r="BN727" s="109"/>
      <c r="BO727" s="109"/>
      <c r="BP727" s="109"/>
      <c r="BQ727" s="109"/>
      <c r="BR727" s="109"/>
      <c r="BS727" s="109"/>
      <c r="BT727" s="109"/>
      <c r="BU727" s="109"/>
    </row>
    <row r="728" ht="15.75" customHeight="1">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10"/>
      <c r="X728" s="109"/>
      <c r="Y728" s="109"/>
      <c r="Z728" s="109"/>
      <c r="AA728" s="109"/>
      <c r="AB728" s="109"/>
      <c r="AC728" s="109"/>
      <c r="AD728" s="109"/>
      <c r="AE728" s="109"/>
      <c r="AF728" s="109"/>
      <c r="AG728" s="109"/>
      <c r="AH728" s="109"/>
      <c r="AI728" s="109"/>
      <c r="AJ728" s="109"/>
      <c r="AK728" s="109"/>
      <c r="AL728" s="109"/>
      <c r="AM728" s="109"/>
      <c r="AN728" s="109"/>
      <c r="AO728" s="109"/>
      <c r="AP728" s="109"/>
      <c r="AQ728" s="109"/>
      <c r="AR728" s="109"/>
      <c r="AS728" s="109"/>
      <c r="AT728" s="109"/>
      <c r="AU728" s="109"/>
      <c r="AV728" s="109"/>
      <c r="AW728" s="109"/>
      <c r="AX728" s="109"/>
      <c r="AY728" s="109"/>
      <c r="AZ728" s="109"/>
      <c r="BA728" s="109"/>
      <c r="BB728" s="109"/>
      <c r="BC728" s="109"/>
      <c r="BD728" s="109"/>
      <c r="BE728" s="109"/>
      <c r="BF728" s="109"/>
      <c r="BG728" s="109"/>
      <c r="BH728" s="109"/>
      <c r="BI728" s="109"/>
      <c r="BJ728" s="109"/>
      <c r="BK728" s="109"/>
      <c r="BL728" s="109"/>
      <c r="BM728" s="109"/>
      <c r="BN728" s="109"/>
      <c r="BO728" s="109"/>
      <c r="BP728" s="109"/>
      <c r="BQ728" s="109"/>
      <c r="BR728" s="109"/>
      <c r="BS728" s="109"/>
      <c r="BT728" s="109"/>
      <c r="BU728" s="109"/>
    </row>
    <row r="729" ht="15.75" customHeight="1">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10"/>
      <c r="X729" s="109"/>
      <c r="Y729" s="109"/>
      <c r="Z729" s="109"/>
      <c r="AA729" s="109"/>
      <c r="AB729" s="109"/>
      <c r="AC729" s="109"/>
      <c r="AD729" s="109"/>
      <c r="AE729" s="109"/>
      <c r="AF729" s="109"/>
      <c r="AG729" s="109"/>
      <c r="AH729" s="109"/>
      <c r="AI729" s="109"/>
      <c r="AJ729" s="109"/>
      <c r="AK729" s="109"/>
      <c r="AL729" s="109"/>
      <c r="AM729" s="109"/>
      <c r="AN729" s="109"/>
      <c r="AO729" s="109"/>
      <c r="AP729" s="109"/>
      <c r="AQ729" s="109"/>
      <c r="AR729" s="109"/>
      <c r="AS729" s="109"/>
      <c r="AT729" s="109"/>
      <c r="AU729" s="109"/>
      <c r="AV729" s="109"/>
      <c r="AW729" s="109"/>
      <c r="AX729" s="109"/>
      <c r="AY729" s="109"/>
      <c r="AZ729" s="109"/>
      <c r="BA729" s="109"/>
      <c r="BB729" s="109"/>
      <c r="BC729" s="109"/>
      <c r="BD729" s="109"/>
      <c r="BE729" s="109"/>
      <c r="BF729" s="109"/>
      <c r="BG729" s="109"/>
      <c r="BH729" s="109"/>
      <c r="BI729" s="109"/>
      <c r="BJ729" s="109"/>
      <c r="BK729" s="109"/>
      <c r="BL729" s="109"/>
      <c r="BM729" s="109"/>
      <c r="BN729" s="109"/>
      <c r="BO729" s="109"/>
      <c r="BP729" s="109"/>
      <c r="BQ729" s="109"/>
      <c r="BR729" s="109"/>
      <c r="BS729" s="109"/>
      <c r="BT729" s="109"/>
      <c r="BU729" s="109"/>
    </row>
    <row r="730" ht="15.75" customHeight="1">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10"/>
      <c r="X730" s="109"/>
      <c r="Y730" s="109"/>
      <c r="Z730" s="109"/>
      <c r="AA730" s="109"/>
      <c r="AB730" s="109"/>
      <c r="AC730" s="109"/>
      <c r="AD730" s="109"/>
      <c r="AE730" s="109"/>
      <c r="AF730" s="109"/>
      <c r="AG730" s="109"/>
      <c r="AH730" s="109"/>
      <c r="AI730" s="109"/>
      <c r="AJ730" s="109"/>
      <c r="AK730" s="109"/>
      <c r="AL730" s="109"/>
      <c r="AM730" s="109"/>
      <c r="AN730" s="109"/>
      <c r="AO730" s="109"/>
      <c r="AP730" s="109"/>
      <c r="AQ730" s="109"/>
      <c r="AR730" s="109"/>
      <c r="AS730" s="109"/>
      <c r="AT730" s="109"/>
      <c r="AU730" s="109"/>
      <c r="AV730" s="109"/>
      <c r="AW730" s="109"/>
      <c r="AX730" s="109"/>
      <c r="AY730" s="109"/>
      <c r="AZ730" s="109"/>
      <c r="BA730" s="109"/>
      <c r="BB730" s="109"/>
      <c r="BC730" s="109"/>
      <c r="BD730" s="109"/>
      <c r="BE730" s="109"/>
      <c r="BF730" s="109"/>
      <c r="BG730" s="109"/>
      <c r="BH730" s="109"/>
      <c r="BI730" s="109"/>
      <c r="BJ730" s="109"/>
      <c r="BK730" s="109"/>
      <c r="BL730" s="109"/>
      <c r="BM730" s="109"/>
      <c r="BN730" s="109"/>
      <c r="BO730" s="109"/>
      <c r="BP730" s="109"/>
      <c r="BQ730" s="109"/>
      <c r="BR730" s="109"/>
      <c r="BS730" s="109"/>
      <c r="BT730" s="109"/>
      <c r="BU730" s="109"/>
    </row>
    <row r="731" ht="15.75" customHeight="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10"/>
      <c r="X731" s="109"/>
      <c r="Y731" s="109"/>
      <c r="Z731" s="109"/>
      <c r="AA731" s="109"/>
      <c r="AB731" s="109"/>
      <c r="AC731" s="109"/>
      <c r="AD731" s="109"/>
      <c r="AE731" s="109"/>
      <c r="AF731" s="109"/>
      <c r="AG731" s="109"/>
      <c r="AH731" s="109"/>
      <c r="AI731" s="109"/>
      <c r="AJ731" s="109"/>
      <c r="AK731" s="109"/>
      <c r="AL731" s="109"/>
      <c r="AM731" s="109"/>
      <c r="AN731" s="109"/>
      <c r="AO731" s="109"/>
      <c r="AP731" s="109"/>
      <c r="AQ731" s="109"/>
      <c r="AR731" s="109"/>
      <c r="AS731" s="109"/>
      <c r="AT731" s="109"/>
      <c r="AU731" s="109"/>
      <c r="AV731" s="109"/>
      <c r="AW731" s="109"/>
      <c r="AX731" s="109"/>
      <c r="AY731" s="109"/>
      <c r="AZ731" s="109"/>
      <c r="BA731" s="109"/>
      <c r="BB731" s="109"/>
      <c r="BC731" s="109"/>
      <c r="BD731" s="109"/>
      <c r="BE731" s="109"/>
      <c r="BF731" s="109"/>
      <c r="BG731" s="109"/>
      <c r="BH731" s="109"/>
      <c r="BI731" s="109"/>
      <c r="BJ731" s="109"/>
      <c r="BK731" s="109"/>
      <c r="BL731" s="109"/>
      <c r="BM731" s="109"/>
      <c r="BN731" s="109"/>
      <c r="BO731" s="109"/>
      <c r="BP731" s="109"/>
      <c r="BQ731" s="109"/>
      <c r="BR731" s="109"/>
      <c r="BS731" s="109"/>
      <c r="BT731" s="109"/>
      <c r="BU731" s="109"/>
    </row>
    <row r="732" ht="15.75" customHeight="1">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10"/>
      <c r="X732" s="109"/>
      <c r="Y732" s="109"/>
      <c r="Z732" s="109"/>
      <c r="AA732" s="109"/>
      <c r="AB732" s="109"/>
      <c r="AC732" s="109"/>
      <c r="AD732" s="109"/>
      <c r="AE732" s="109"/>
      <c r="AF732" s="109"/>
      <c r="AG732" s="109"/>
      <c r="AH732" s="109"/>
      <c r="AI732" s="109"/>
      <c r="AJ732" s="109"/>
      <c r="AK732" s="109"/>
      <c r="AL732" s="109"/>
      <c r="AM732" s="109"/>
      <c r="AN732" s="109"/>
      <c r="AO732" s="109"/>
      <c r="AP732" s="109"/>
      <c r="AQ732" s="109"/>
      <c r="AR732" s="109"/>
      <c r="AS732" s="109"/>
      <c r="AT732" s="109"/>
      <c r="AU732" s="109"/>
      <c r="AV732" s="109"/>
      <c r="AW732" s="109"/>
      <c r="AX732" s="109"/>
      <c r="AY732" s="109"/>
      <c r="AZ732" s="109"/>
      <c r="BA732" s="109"/>
      <c r="BB732" s="109"/>
      <c r="BC732" s="109"/>
      <c r="BD732" s="109"/>
      <c r="BE732" s="109"/>
      <c r="BF732" s="109"/>
      <c r="BG732" s="109"/>
      <c r="BH732" s="109"/>
      <c r="BI732" s="109"/>
      <c r="BJ732" s="109"/>
      <c r="BK732" s="109"/>
      <c r="BL732" s="109"/>
      <c r="BM732" s="109"/>
      <c r="BN732" s="109"/>
      <c r="BO732" s="109"/>
      <c r="BP732" s="109"/>
      <c r="BQ732" s="109"/>
      <c r="BR732" s="109"/>
      <c r="BS732" s="109"/>
      <c r="BT732" s="109"/>
      <c r="BU732" s="109"/>
    </row>
    <row r="733" ht="15.75" customHeight="1">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10"/>
      <c r="X733" s="109"/>
      <c r="Y733" s="109"/>
      <c r="Z733" s="109"/>
      <c r="AA733" s="109"/>
      <c r="AB733" s="109"/>
      <c r="AC733" s="109"/>
      <c r="AD733" s="109"/>
      <c r="AE733" s="109"/>
      <c r="AF733" s="109"/>
      <c r="AG733" s="109"/>
      <c r="AH733" s="109"/>
      <c r="AI733" s="109"/>
      <c r="AJ733" s="109"/>
      <c r="AK733" s="109"/>
      <c r="AL733" s="109"/>
      <c r="AM733" s="109"/>
      <c r="AN733" s="109"/>
      <c r="AO733" s="109"/>
      <c r="AP733" s="109"/>
      <c r="AQ733" s="109"/>
      <c r="AR733" s="109"/>
      <c r="AS733" s="109"/>
      <c r="AT733" s="109"/>
      <c r="AU733" s="109"/>
      <c r="AV733" s="109"/>
      <c r="AW733" s="109"/>
      <c r="AX733" s="109"/>
      <c r="AY733" s="109"/>
      <c r="AZ733" s="109"/>
      <c r="BA733" s="109"/>
      <c r="BB733" s="109"/>
      <c r="BC733" s="109"/>
      <c r="BD733" s="109"/>
      <c r="BE733" s="109"/>
      <c r="BF733" s="109"/>
      <c r="BG733" s="109"/>
      <c r="BH733" s="109"/>
      <c r="BI733" s="109"/>
      <c r="BJ733" s="109"/>
      <c r="BK733" s="109"/>
      <c r="BL733" s="109"/>
      <c r="BM733" s="109"/>
      <c r="BN733" s="109"/>
      <c r="BO733" s="109"/>
      <c r="BP733" s="109"/>
      <c r="BQ733" s="109"/>
      <c r="BR733" s="109"/>
      <c r="BS733" s="109"/>
      <c r="BT733" s="109"/>
      <c r="BU733" s="109"/>
    </row>
    <row r="734" ht="15.75" customHeight="1">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10"/>
      <c r="X734" s="109"/>
      <c r="Y734" s="109"/>
      <c r="Z734" s="109"/>
      <c r="AA734" s="109"/>
      <c r="AB734" s="109"/>
      <c r="AC734" s="109"/>
      <c r="AD734" s="109"/>
      <c r="AE734" s="109"/>
      <c r="AF734" s="109"/>
      <c r="AG734" s="109"/>
      <c r="AH734" s="109"/>
      <c r="AI734" s="109"/>
      <c r="AJ734" s="109"/>
      <c r="AK734" s="109"/>
      <c r="AL734" s="109"/>
      <c r="AM734" s="109"/>
      <c r="AN734" s="109"/>
      <c r="AO734" s="109"/>
      <c r="AP734" s="109"/>
      <c r="AQ734" s="109"/>
      <c r="AR734" s="109"/>
      <c r="AS734" s="109"/>
      <c r="AT734" s="109"/>
      <c r="AU734" s="109"/>
      <c r="AV734" s="109"/>
      <c r="AW734" s="109"/>
      <c r="AX734" s="109"/>
      <c r="AY734" s="109"/>
      <c r="AZ734" s="109"/>
      <c r="BA734" s="109"/>
      <c r="BB734" s="109"/>
      <c r="BC734" s="109"/>
      <c r="BD734" s="109"/>
      <c r="BE734" s="109"/>
      <c r="BF734" s="109"/>
      <c r="BG734" s="109"/>
      <c r="BH734" s="109"/>
      <c r="BI734" s="109"/>
      <c r="BJ734" s="109"/>
      <c r="BK734" s="109"/>
      <c r="BL734" s="109"/>
      <c r="BM734" s="109"/>
      <c r="BN734" s="109"/>
      <c r="BO734" s="109"/>
      <c r="BP734" s="109"/>
      <c r="BQ734" s="109"/>
      <c r="BR734" s="109"/>
      <c r="BS734" s="109"/>
      <c r="BT734" s="109"/>
      <c r="BU734" s="109"/>
    </row>
    <row r="735" ht="15.75" customHeight="1">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10"/>
      <c r="X735" s="109"/>
      <c r="Y735" s="109"/>
      <c r="Z735" s="109"/>
      <c r="AA735" s="109"/>
      <c r="AB735" s="109"/>
      <c r="AC735" s="109"/>
      <c r="AD735" s="109"/>
      <c r="AE735" s="109"/>
      <c r="AF735" s="109"/>
      <c r="AG735" s="109"/>
      <c r="AH735" s="109"/>
      <c r="AI735" s="109"/>
      <c r="AJ735" s="109"/>
      <c r="AK735" s="109"/>
      <c r="AL735" s="109"/>
      <c r="AM735" s="109"/>
      <c r="AN735" s="109"/>
      <c r="AO735" s="109"/>
      <c r="AP735" s="109"/>
      <c r="AQ735" s="109"/>
      <c r="AR735" s="109"/>
      <c r="AS735" s="109"/>
      <c r="AT735" s="109"/>
      <c r="AU735" s="109"/>
      <c r="AV735" s="109"/>
      <c r="AW735" s="109"/>
      <c r="AX735" s="109"/>
      <c r="AY735" s="109"/>
      <c r="AZ735" s="109"/>
      <c r="BA735" s="109"/>
      <c r="BB735" s="109"/>
      <c r="BC735" s="109"/>
      <c r="BD735" s="109"/>
      <c r="BE735" s="109"/>
      <c r="BF735" s="109"/>
      <c r="BG735" s="109"/>
      <c r="BH735" s="109"/>
      <c r="BI735" s="109"/>
      <c r="BJ735" s="109"/>
      <c r="BK735" s="109"/>
      <c r="BL735" s="109"/>
      <c r="BM735" s="109"/>
      <c r="BN735" s="109"/>
      <c r="BO735" s="109"/>
      <c r="BP735" s="109"/>
      <c r="BQ735" s="109"/>
      <c r="BR735" s="109"/>
      <c r="BS735" s="109"/>
      <c r="BT735" s="109"/>
      <c r="BU735" s="109"/>
    </row>
    <row r="736" ht="15.75" customHeight="1">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10"/>
      <c r="X736" s="109"/>
      <c r="Y736" s="109"/>
      <c r="Z736" s="109"/>
      <c r="AA736" s="109"/>
      <c r="AB736" s="109"/>
      <c r="AC736" s="109"/>
      <c r="AD736" s="109"/>
      <c r="AE736" s="109"/>
      <c r="AF736" s="109"/>
      <c r="AG736" s="109"/>
      <c r="AH736" s="109"/>
      <c r="AI736" s="109"/>
      <c r="AJ736" s="109"/>
      <c r="AK736" s="109"/>
      <c r="AL736" s="109"/>
      <c r="AM736" s="109"/>
      <c r="AN736" s="109"/>
      <c r="AO736" s="109"/>
      <c r="AP736" s="109"/>
      <c r="AQ736" s="109"/>
      <c r="AR736" s="109"/>
      <c r="AS736" s="109"/>
      <c r="AT736" s="109"/>
      <c r="AU736" s="109"/>
      <c r="AV736" s="109"/>
      <c r="AW736" s="109"/>
      <c r="AX736" s="109"/>
      <c r="AY736" s="109"/>
      <c r="AZ736" s="109"/>
      <c r="BA736" s="109"/>
      <c r="BB736" s="109"/>
      <c r="BC736" s="109"/>
      <c r="BD736" s="109"/>
      <c r="BE736" s="109"/>
      <c r="BF736" s="109"/>
      <c r="BG736" s="109"/>
      <c r="BH736" s="109"/>
      <c r="BI736" s="109"/>
      <c r="BJ736" s="109"/>
      <c r="BK736" s="109"/>
      <c r="BL736" s="109"/>
      <c r="BM736" s="109"/>
      <c r="BN736" s="109"/>
      <c r="BO736" s="109"/>
      <c r="BP736" s="109"/>
      <c r="BQ736" s="109"/>
      <c r="BR736" s="109"/>
      <c r="BS736" s="109"/>
      <c r="BT736" s="109"/>
      <c r="BU736" s="109"/>
    </row>
    <row r="737" ht="15.75" customHeight="1">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10"/>
      <c r="X737" s="109"/>
      <c r="Y737" s="109"/>
      <c r="Z737" s="109"/>
      <c r="AA737" s="109"/>
      <c r="AB737" s="109"/>
      <c r="AC737" s="109"/>
      <c r="AD737" s="109"/>
      <c r="AE737" s="109"/>
      <c r="AF737" s="109"/>
      <c r="AG737" s="109"/>
      <c r="AH737" s="109"/>
      <c r="AI737" s="109"/>
      <c r="AJ737" s="109"/>
      <c r="AK737" s="109"/>
      <c r="AL737" s="109"/>
      <c r="AM737" s="109"/>
      <c r="AN737" s="109"/>
      <c r="AO737" s="109"/>
      <c r="AP737" s="109"/>
      <c r="AQ737" s="109"/>
      <c r="AR737" s="109"/>
      <c r="AS737" s="109"/>
      <c r="AT737" s="109"/>
      <c r="AU737" s="109"/>
      <c r="AV737" s="109"/>
      <c r="AW737" s="109"/>
      <c r="AX737" s="109"/>
      <c r="AY737" s="109"/>
      <c r="AZ737" s="109"/>
      <c r="BA737" s="109"/>
      <c r="BB737" s="109"/>
      <c r="BC737" s="109"/>
      <c r="BD737" s="109"/>
      <c r="BE737" s="109"/>
      <c r="BF737" s="109"/>
      <c r="BG737" s="109"/>
      <c r="BH737" s="109"/>
      <c r="BI737" s="109"/>
      <c r="BJ737" s="109"/>
      <c r="BK737" s="109"/>
      <c r="BL737" s="109"/>
      <c r="BM737" s="109"/>
      <c r="BN737" s="109"/>
      <c r="BO737" s="109"/>
      <c r="BP737" s="109"/>
      <c r="BQ737" s="109"/>
      <c r="BR737" s="109"/>
      <c r="BS737" s="109"/>
      <c r="BT737" s="109"/>
      <c r="BU737" s="109"/>
    </row>
    <row r="738" ht="15.75" customHeight="1">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10"/>
      <c r="X738" s="109"/>
      <c r="Y738" s="109"/>
      <c r="Z738" s="109"/>
      <c r="AA738" s="109"/>
      <c r="AB738" s="109"/>
      <c r="AC738" s="109"/>
      <c r="AD738" s="109"/>
      <c r="AE738" s="109"/>
      <c r="AF738" s="109"/>
      <c r="AG738" s="109"/>
      <c r="AH738" s="109"/>
      <c r="AI738" s="109"/>
      <c r="AJ738" s="109"/>
      <c r="AK738" s="109"/>
      <c r="AL738" s="109"/>
      <c r="AM738" s="109"/>
      <c r="AN738" s="109"/>
      <c r="AO738" s="109"/>
      <c r="AP738" s="109"/>
      <c r="AQ738" s="109"/>
      <c r="AR738" s="109"/>
      <c r="AS738" s="109"/>
      <c r="AT738" s="109"/>
      <c r="AU738" s="109"/>
      <c r="AV738" s="109"/>
      <c r="AW738" s="109"/>
      <c r="AX738" s="109"/>
      <c r="AY738" s="109"/>
      <c r="AZ738" s="109"/>
      <c r="BA738" s="109"/>
      <c r="BB738" s="109"/>
      <c r="BC738" s="109"/>
      <c r="BD738" s="109"/>
      <c r="BE738" s="109"/>
      <c r="BF738" s="109"/>
      <c r="BG738" s="109"/>
      <c r="BH738" s="109"/>
      <c r="BI738" s="109"/>
      <c r="BJ738" s="109"/>
      <c r="BK738" s="109"/>
      <c r="BL738" s="109"/>
      <c r="BM738" s="109"/>
      <c r="BN738" s="109"/>
      <c r="BO738" s="109"/>
      <c r="BP738" s="109"/>
      <c r="BQ738" s="109"/>
      <c r="BR738" s="109"/>
      <c r="BS738" s="109"/>
      <c r="BT738" s="109"/>
      <c r="BU738" s="109"/>
    </row>
    <row r="739" ht="15.75" customHeight="1">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10"/>
      <c r="X739" s="109"/>
      <c r="Y739" s="109"/>
      <c r="Z739" s="109"/>
      <c r="AA739" s="109"/>
      <c r="AB739" s="109"/>
      <c r="AC739" s="109"/>
      <c r="AD739" s="109"/>
      <c r="AE739" s="109"/>
      <c r="AF739" s="109"/>
      <c r="AG739" s="109"/>
      <c r="AH739" s="109"/>
      <c r="AI739" s="109"/>
      <c r="AJ739" s="109"/>
      <c r="AK739" s="109"/>
      <c r="AL739" s="109"/>
      <c r="AM739" s="109"/>
      <c r="AN739" s="109"/>
      <c r="AO739" s="109"/>
      <c r="AP739" s="109"/>
      <c r="AQ739" s="109"/>
      <c r="AR739" s="109"/>
      <c r="AS739" s="109"/>
      <c r="AT739" s="109"/>
      <c r="AU739" s="109"/>
      <c r="AV739" s="109"/>
      <c r="AW739" s="109"/>
      <c r="AX739" s="109"/>
      <c r="AY739" s="109"/>
      <c r="AZ739" s="109"/>
      <c r="BA739" s="109"/>
      <c r="BB739" s="109"/>
      <c r="BC739" s="109"/>
      <c r="BD739" s="109"/>
      <c r="BE739" s="109"/>
      <c r="BF739" s="109"/>
      <c r="BG739" s="109"/>
      <c r="BH739" s="109"/>
      <c r="BI739" s="109"/>
      <c r="BJ739" s="109"/>
      <c r="BK739" s="109"/>
      <c r="BL739" s="109"/>
      <c r="BM739" s="109"/>
      <c r="BN739" s="109"/>
      <c r="BO739" s="109"/>
      <c r="BP739" s="109"/>
      <c r="BQ739" s="109"/>
      <c r="BR739" s="109"/>
      <c r="BS739" s="109"/>
      <c r="BT739" s="109"/>
      <c r="BU739" s="109"/>
    </row>
    <row r="740" ht="15.75" customHeight="1">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10"/>
      <c r="X740" s="109"/>
      <c r="Y740" s="109"/>
      <c r="Z740" s="109"/>
      <c r="AA740" s="109"/>
      <c r="AB740" s="109"/>
      <c r="AC740" s="109"/>
      <c r="AD740" s="109"/>
      <c r="AE740" s="109"/>
      <c r="AF740" s="109"/>
      <c r="AG740" s="109"/>
      <c r="AH740" s="109"/>
      <c r="AI740" s="109"/>
      <c r="AJ740" s="109"/>
      <c r="AK740" s="109"/>
      <c r="AL740" s="109"/>
      <c r="AM740" s="109"/>
      <c r="AN740" s="109"/>
      <c r="AO740" s="109"/>
      <c r="AP740" s="109"/>
      <c r="AQ740" s="109"/>
      <c r="AR740" s="109"/>
      <c r="AS740" s="109"/>
      <c r="AT740" s="109"/>
      <c r="AU740" s="109"/>
      <c r="AV740" s="109"/>
      <c r="AW740" s="109"/>
      <c r="AX740" s="109"/>
      <c r="AY740" s="109"/>
      <c r="AZ740" s="109"/>
      <c r="BA740" s="109"/>
      <c r="BB740" s="109"/>
      <c r="BC740" s="109"/>
      <c r="BD740" s="109"/>
      <c r="BE740" s="109"/>
      <c r="BF740" s="109"/>
      <c r="BG740" s="109"/>
      <c r="BH740" s="109"/>
      <c r="BI740" s="109"/>
      <c r="BJ740" s="109"/>
      <c r="BK740" s="109"/>
      <c r="BL740" s="109"/>
      <c r="BM740" s="109"/>
      <c r="BN740" s="109"/>
      <c r="BO740" s="109"/>
      <c r="BP740" s="109"/>
      <c r="BQ740" s="109"/>
      <c r="BR740" s="109"/>
      <c r="BS740" s="109"/>
      <c r="BT740" s="109"/>
      <c r="BU740" s="109"/>
    </row>
    <row r="741" ht="15.75" customHeight="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10"/>
      <c r="X741" s="109"/>
      <c r="Y741" s="109"/>
      <c r="Z741" s="109"/>
      <c r="AA741" s="109"/>
      <c r="AB741" s="109"/>
      <c r="AC741" s="109"/>
      <c r="AD741" s="109"/>
      <c r="AE741" s="109"/>
      <c r="AF741" s="109"/>
      <c r="AG741" s="109"/>
      <c r="AH741" s="109"/>
      <c r="AI741" s="109"/>
      <c r="AJ741" s="109"/>
      <c r="AK741" s="109"/>
      <c r="AL741" s="109"/>
      <c r="AM741" s="109"/>
      <c r="AN741" s="109"/>
      <c r="AO741" s="109"/>
      <c r="AP741" s="109"/>
      <c r="AQ741" s="109"/>
      <c r="AR741" s="109"/>
      <c r="AS741" s="109"/>
      <c r="AT741" s="109"/>
      <c r="AU741" s="109"/>
      <c r="AV741" s="109"/>
      <c r="AW741" s="109"/>
      <c r="AX741" s="109"/>
      <c r="AY741" s="109"/>
      <c r="AZ741" s="109"/>
      <c r="BA741" s="109"/>
      <c r="BB741" s="109"/>
      <c r="BC741" s="109"/>
      <c r="BD741" s="109"/>
      <c r="BE741" s="109"/>
      <c r="BF741" s="109"/>
      <c r="BG741" s="109"/>
      <c r="BH741" s="109"/>
      <c r="BI741" s="109"/>
      <c r="BJ741" s="109"/>
      <c r="BK741" s="109"/>
      <c r="BL741" s="109"/>
      <c r="BM741" s="109"/>
      <c r="BN741" s="109"/>
      <c r="BO741" s="109"/>
      <c r="BP741" s="109"/>
      <c r="BQ741" s="109"/>
      <c r="BR741" s="109"/>
      <c r="BS741" s="109"/>
      <c r="BT741" s="109"/>
      <c r="BU741" s="109"/>
    </row>
    <row r="742" ht="15.75" customHeight="1">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10"/>
      <c r="X742" s="109"/>
      <c r="Y742" s="109"/>
      <c r="Z742" s="109"/>
      <c r="AA742" s="109"/>
      <c r="AB742" s="109"/>
      <c r="AC742" s="109"/>
      <c r="AD742" s="109"/>
      <c r="AE742" s="109"/>
      <c r="AF742" s="109"/>
      <c r="AG742" s="109"/>
      <c r="AH742" s="109"/>
      <c r="AI742" s="109"/>
      <c r="AJ742" s="109"/>
      <c r="AK742" s="109"/>
      <c r="AL742" s="109"/>
      <c r="AM742" s="109"/>
      <c r="AN742" s="109"/>
      <c r="AO742" s="109"/>
      <c r="AP742" s="109"/>
      <c r="AQ742" s="109"/>
      <c r="AR742" s="109"/>
      <c r="AS742" s="109"/>
      <c r="AT742" s="109"/>
      <c r="AU742" s="109"/>
      <c r="AV742" s="109"/>
      <c r="AW742" s="109"/>
      <c r="AX742" s="109"/>
      <c r="AY742" s="109"/>
      <c r="AZ742" s="109"/>
      <c r="BA742" s="109"/>
      <c r="BB742" s="109"/>
      <c r="BC742" s="109"/>
      <c r="BD742" s="109"/>
      <c r="BE742" s="109"/>
      <c r="BF742" s="109"/>
      <c r="BG742" s="109"/>
      <c r="BH742" s="109"/>
      <c r="BI742" s="109"/>
      <c r="BJ742" s="109"/>
      <c r="BK742" s="109"/>
      <c r="BL742" s="109"/>
      <c r="BM742" s="109"/>
      <c r="BN742" s="109"/>
      <c r="BO742" s="109"/>
      <c r="BP742" s="109"/>
      <c r="BQ742" s="109"/>
      <c r="BR742" s="109"/>
      <c r="BS742" s="109"/>
      <c r="BT742" s="109"/>
      <c r="BU742" s="109"/>
    </row>
    <row r="743" ht="15.75" customHeight="1">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10"/>
      <c r="X743" s="109"/>
      <c r="Y743" s="109"/>
      <c r="Z743" s="109"/>
      <c r="AA743" s="109"/>
      <c r="AB743" s="109"/>
      <c r="AC743" s="109"/>
      <c r="AD743" s="109"/>
      <c r="AE743" s="109"/>
      <c r="AF743" s="109"/>
      <c r="AG743" s="109"/>
      <c r="AH743" s="109"/>
      <c r="AI743" s="109"/>
      <c r="AJ743" s="109"/>
      <c r="AK743" s="109"/>
      <c r="AL743" s="109"/>
      <c r="AM743" s="109"/>
      <c r="AN743" s="109"/>
      <c r="AO743" s="109"/>
      <c r="AP743" s="109"/>
      <c r="AQ743" s="109"/>
      <c r="AR743" s="109"/>
      <c r="AS743" s="109"/>
      <c r="AT743" s="109"/>
      <c r="AU743" s="109"/>
      <c r="AV743" s="109"/>
      <c r="AW743" s="109"/>
      <c r="AX743" s="109"/>
      <c r="AY743" s="109"/>
      <c r="AZ743" s="109"/>
      <c r="BA743" s="109"/>
      <c r="BB743" s="109"/>
      <c r="BC743" s="109"/>
      <c r="BD743" s="109"/>
      <c r="BE743" s="109"/>
      <c r="BF743" s="109"/>
      <c r="BG743" s="109"/>
      <c r="BH743" s="109"/>
      <c r="BI743" s="109"/>
      <c r="BJ743" s="109"/>
      <c r="BK743" s="109"/>
      <c r="BL743" s="109"/>
      <c r="BM743" s="109"/>
      <c r="BN743" s="109"/>
      <c r="BO743" s="109"/>
      <c r="BP743" s="109"/>
      <c r="BQ743" s="109"/>
      <c r="BR743" s="109"/>
      <c r="BS743" s="109"/>
      <c r="BT743" s="109"/>
      <c r="BU743" s="109"/>
    </row>
    <row r="744" ht="15.75" customHeight="1">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10"/>
      <c r="X744" s="109"/>
      <c r="Y744" s="109"/>
      <c r="Z744" s="109"/>
      <c r="AA744" s="109"/>
      <c r="AB744" s="109"/>
      <c r="AC744" s="109"/>
      <c r="AD744" s="109"/>
      <c r="AE744" s="109"/>
      <c r="AF744" s="109"/>
      <c r="AG744" s="109"/>
      <c r="AH744" s="109"/>
      <c r="AI744" s="109"/>
      <c r="AJ744" s="109"/>
      <c r="AK744" s="109"/>
      <c r="AL744" s="109"/>
      <c r="AM744" s="109"/>
      <c r="AN744" s="109"/>
      <c r="AO744" s="109"/>
      <c r="AP744" s="109"/>
      <c r="AQ744" s="109"/>
      <c r="AR744" s="109"/>
      <c r="AS744" s="109"/>
      <c r="AT744" s="109"/>
      <c r="AU744" s="109"/>
      <c r="AV744" s="109"/>
      <c r="AW744" s="109"/>
      <c r="AX744" s="109"/>
      <c r="AY744" s="109"/>
      <c r="AZ744" s="109"/>
      <c r="BA744" s="109"/>
      <c r="BB744" s="109"/>
      <c r="BC744" s="109"/>
      <c r="BD744" s="109"/>
      <c r="BE744" s="109"/>
      <c r="BF744" s="109"/>
      <c r="BG744" s="109"/>
      <c r="BH744" s="109"/>
      <c r="BI744" s="109"/>
      <c r="BJ744" s="109"/>
      <c r="BK744" s="109"/>
      <c r="BL744" s="109"/>
      <c r="BM744" s="109"/>
      <c r="BN744" s="109"/>
      <c r="BO744" s="109"/>
      <c r="BP744" s="109"/>
      <c r="BQ744" s="109"/>
      <c r="BR744" s="109"/>
      <c r="BS744" s="109"/>
      <c r="BT744" s="109"/>
      <c r="BU744" s="109"/>
    </row>
    <row r="745" ht="15.75" customHeight="1">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10"/>
      <c r="X745" s="109"/>
      <c r="Y745" s="109"/>
      <c r="Z745" s="109"/>
      <c r="AA745" s="109"/>
      <c r="AB745" s="109"/>
      <c r="AC745" s="109"/>
      <c r="AD745" s="109"/>
      <c r="AE745" s="109"/>
      <c r="AF745" s="109"/>
      <c r="AG745" s="109"/>
      <c r="AH745" s="109"/>
      <c r="AI745" s="109"/>
      <c r="AJ745" s="109"/>
      <c r="AK745" s="109"/>
      <c r="AL745" s="109"/>
      <c r="AM745" s="109"/>
      <c r="AN745" s="109"/>
      <c r="AO745" s="109"/>
      <c r="AP745" s="109"/>
      <c r="AQ745" s="109"/>
      <c r="AR745" s="109"/>
      <c r="AS745" s="109"/>
      <c r="AT745" s="109"/>
      <c r="AU745" s="109"/>
      <c r="AV745" s="109"/>
      <c r="AW745" s="109"/>
      <c r="AX745" s="109"/>
      <c r="AY745" s="109"/>
      <c r="AZ745" s="109"/>
      <c r="BA745" s="109"/>
      <c r="BB745" s="109"/>
      <c r="BC745" s="109"/>
      <c r="BD745" s="109"/>
      <c r="BE745" s="109"/>
      <c r="BF745" s="109"/>
      <c r="BG745" s="109"/>
      <c r="BH745" s="109"/>
      <c r="BI745" s="109"/>
      <c r="BJ745" s="109"/>
      <c r="BK745" s="109"/>
      <c r="BL745" s="109"/>
      <c r="BM745" s="109"/>
      <c r="BN745" s="109"/>
      <c r="BO745" s="109"/>
      <c r="BP745" s="109"/>
      <c r="BQ745" s="109"/>
      <c r="BR745" s="109"/>
      <c r="BS745" s="109"/>
      <c r="BT745" s="109"/>
      <c r="BU745" s="109"/>
    </row>
    <row r="746" ht="15.75" customHeight="1">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10"/>
      <c r="X746" s="109"/>
      <c r="Y746" s="109"/>
      <c r="Z746" s="109"/>
      <c r="AA746" s="109"/>
      <c r="AB746" s="109"/>
      <c r="AC746" s="109"/>
      <c r="AD746" s="109"/>
      <c r="AE746" s="109"/>
      <c r="AF746" s="109"/>
      <c r="AG746" s="109"/>
      <c r="AH746" s="109"/>
      <c r="AI746" s="109"/>
      <c r="AJ746" s="109"/>
      <c r="AK746" s="109"/>
      <c r="AL746" s="109"/>
      <c r="AM746" s="109"/>
      <c r="AN746" s="109"/>
      <c r="AO746" s="109"/>
      <c r="AP746" s="109"/>
      <c r="AQ746" s="109"/>
      <c r="AR746" s="109"/>
      <c r="AS746" s="109"/>
      <c r="AT746" s="109"/>
      <c r="AU746" s="109"/>
      <c r="AV746" s="109"/>
      <c r="AW746" s="109"/>
      <c r="AX746" s="109"/>
      <c r="AY746" s="109"/>
      <c r="AZ746" s="109"/>
      <c r="BA746" s="109"/>
      <c r="BB746" s="109"/>
      <c r="BC746" s="109"/>
      <c r="BD746" s="109"/>
      <c r="BE746" s="109"/>
      <c r="BF746" s="109"/>
      <c r="BG746" s="109"/>
      <c r="BH746" s="109"/>
      <c r="BI746" s="109"/>
      <c r="BJ746" s="109"/>
      <c r="BK746" s="109"/>
      <c r="BL746" s="109"/>
      <c r="BM746" s="109"/>
      <c r="BN746" s="109"/>
      <c r="BO746" s="109"/>
      <c r="BP746" s="109"/>
      <c r="BQ746" s="109"/>
      <c r="BR746" s="109"/>
      <c r="BS746" s="109"/>
      <c r="BT746" s="109"/>
      <c r="BU746" s="109"/>
    </row>
    <row r="747" ht="15.75" customHeight="1">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10"/>
      <c r="X747" s="109"/>
      <c r="Y747" s="109"/>
      <c r="Z747" s="109"/>
      <c r="AA747" s="109"/>
      <c r="AB747" s="109"/>
      <c r="AC747" s="109"/>
      <c r="AD747" s="109"/>
      <c r="AE747" s="109"/>
      <c r="AF747" s="109"/>
      <c r="AG747" s="109"/>
      <c r="AH747" s="109"/>
      <c r="AI747" s="109"/>
      <c r="AJ747" s="109"/>
      <c r="AK747" s="109"/>
      <c r="AL747" s="109"/>
      <c r="AM747" s="109"/>
      <c r="AN747" s="109"/>
      <c r="AO747" s="109"/>
      <c r="AP747" s="109"/>
      <c r="AQ747" s="109"/>
      <c r="AR747" s="109"/>
      <c r="AS747" s="109"/>
      <c r="AT747" s="109"/>
      <c r="AU747" s="109"/>
      <c r="AV747" s="109"/>
      <c r="AW747" s="109"/>
      <c r="AX747" s="109"/>
      <c r="AY747" s="109"/>
      <c r="AZ747" s="109"/>
      <c r="BA747" s="109"/>
      <c r="BB747" s="109"/>
      <c r="BC747" s="109"/>
      <c r="BD747" s="109"/>
      <c r="BE747" s="109"/>
      <c r="BF747" s="109"/>
      <c r="BG747" s="109"/>
      <c r="BH747" s="109"/>
      <c r="BI747" s="109"/>
      <c r="BJ747" s="109"/>
      <c r="BK747" s="109"/>
      <c r="BL747" s="109"/>
      <c r="BM747" s="109"/>
      <c r="BN747" s="109"/>
      <c r="BO747" s="109"/>
      <c r="BP747" s="109"/>
      <c r="BQ747" s="109"/>
      <c r="BR747" s="109"/>
      <c r="BS747" s="109"/>
      <c r="BT747" s="109"/>
      <c r="BU747" s="109"/>
    </row>
    <row r="748" ht="15.75" customHeight="1">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10"/>
      <c r="X748" s="109"/>
      <c r="Y748" s="109"/>
      <c r="Z748" s="109"/>
      <c r="AA748" s="109"/>
      <c r="AB748" s="109"/>
      <c r="AC748" s="109"/>
      <c r="AD748" s="109"/>
      <c r="AE748" s="109"/>
      <c r="AF748" s="109"/>
      <c r="AG748" s="109"/>
      <c r="AH748" s="109"/>
      <c r="AI748" s="109"/>
      <c r="AJ748" s="109"/>
      <c r="AK748" s="109"/>
      <c r="AL748" s="109"/>
      <c r="AM748" s="109"/>
      <c r="AN748" s="109"/>
      <c r="AO748" s="109"/>
      <c r="AP748" s="109"/>
      <c r="AQ748" s="109"/>
      <c r="AR748" s="109"/>
      <c r="AS748" s="109"/>
      <c r="AT748" s="109"/>
      <c r="AU748" s="109"/>
      <c r="AV748" s="109"/>
      <c r="AW748" s="109"/>
      <c r="AX748" s="109"/>
      <c r="AY748" s="109"/>
      <c r="AZ748" s="109"/>
      <c r="BA748" s="109"/>
      <c r="BB748" s="109"/>
      <c r="BC748" s="109"/>
      <c r="BD748" s="109"/>
      <c r="BE748" s="109"/>
      <c r="BF748" s="109"/>
      <c r="BG748" s="109"/>
      <c r="BH748" s="109"/>
      <c r="BI748" s="109"/>
      <c r="BJ748" s="109"/>
      <c r="BK748" s="109"/>
      <c r="BL748" s="109"/>
      <c r="BM748" s="109"/>
      <c r="BN748" s="109"/>
      <c r="BO748" s="109"/>
      <c r="BP748" s="109"/>
      <c r="BQ748" s="109"/>
      <c r="BR748" s="109"/>
      <c r="BS748" s="109"/>
      <c r="BT748" s="109"/>
      <c r="BU748" s="109"/>
    </row>
    <row r="749" ht="15.75" customHeight="1">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10"/>
      <c r="X749" s="109"/>
      <c r="Y749" s="109"/>
      <c r="Z749" s="109"/>
      <c r="AA749" s="109"/>
      <c r="AB749" s="109"/>
      <c r="AC749" s="109"/>
      <c r="AD749" s="109"/>
      <c r="AE749" s="109"/>
      <c r="AF749" s="109"/>
      <c r="AG749" s="109"/>
      <c r="AH749" s="109"/>
      <c r="AI749" s="109"/>
      <c r="AJ749" s="109"/>
      <c r="AK749" s="109"/>
      <c r="AL749" s="109"/>
      <c r="AM749" s="109"/>
      <c r="AN749" s="109"/>
      <c r="AO749" s="109"/>
      <c r="AP749" s="109"/>
      <c r="AQ749" s="109"/>
      <c r="AR749" s="109"/>
      <c r="AS749" s="109"/>
      <c r="AT749" s="109"/>
      <c r="AU749" s="109"/>
      <c r="AV749" s="109"/>
      <c r="AW749" s="109"/>
      <c r="AX749" s="109"/>
      <c r="AY749" s="109"/>
      <c r="AZ749" s="109"/>
      <c r="BA749" s="109"/>
      <c r="BB749" s="109"/>
      <c r="BC749" s="109"/>
      <c r="BD749" s="109"/>
      <c r="BE749" s="109"/>
      <c r="BF749" s="109"/>
      <c r="BG749" s="109"/>
      <c r="BH749" s="109"/>
      <c r="BI749" s="109"/>
      <c r="BJ749" s="109"/>
      <c r="BK749" s="109"/>
      <c r="BL749" s="109"/>
      <c r="BM749" s="109"/>
      <c r="BN749" s="109"/>
      <c r="BO749" s="109"/>
      <c r="BP749" s="109"/>
      <c r="BQ749" s="109"/>
      <c r="BR749" s="109"/>
      <c r="BS749" s="109"/>
      <c r="BT749" s="109"/>
      <c r="BU749" s="109"/>
    </row>
    <row r="750" ht="15.75" customHeight="1">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10"/>
      <c r="X750" s="109"/>
      <c r="Y750" s="109"/>
      <c r="Z750" s="109"/>
      <c r="AA750" s="109"/>
      <c r="AB750" s="109"/>
      <c r="AC750" s="109"/>
      <c r="AD750" s="109"/>
      <c r="AE750" s="109"/>
      <c r="AF750" s="109"/>
      <c r="AG750" s="109"/>
      <c r="AH750" s="109"/>
      <c r="AI750" s="109"/>
      <c r="AJ750" s="109"/>
      <c r="AK750" s="109"/>
      <c r="AL750" s="109"/>
      <c r="AM750" s="109"/>
      <c r="AN750" s="109"/>
      <c r="AO750" s="109"/>
      <c r="AP750" s="109"/>
      <c r="AQ750" s="109"/>
      <c r="AR750" s="109"/>
      <c r="AS750" s="109"/>
      <c r="AT750" s="109"/>
      <c r="AU750" s="109"/>
      <c r="AV750" s="109"/>
      <c r="AW750" s="109"/>
      <c r="AX750" s="109"/>
      <c r="AY750" s="109"/>
      <c r="AZ750" s="109"/>
      <c r="BA750" s="109"/>
      <c r="BB750" s="109"/>
      <c r="BC750" s="109"/>
      <c r="BD750" s="109"/>
      <c r="BE750" s="109"/>
      <c r="BF750" s="109"/>
      <c r="BG750" s="109"/>
      <c r="BH750" s="109"/>
      <c r="BI750" s="109"/>
      <c r="BJ750" s="109"/>
      <c r="BK750" s="109"/>
      <c r="BL750" s="109"/>
      <c r="BM750" s="109"/>
      <c r="BN750" s="109"/>
      <c r="BO750" s="109"/>
      <c r="BP750" s="109"/>
      <c r="BQ750" s="109"/>
      <c r="BR750" s="109"/>
      <c r="BS750" s="109"/>
      <c r="BT750" s="109"/>
      <c r="BU750" s="109"/>
    </row>
    <row r="751" ht="15.75" customHeight="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10"/>
      <c r="X751" s="109"/>
      <c r="Y751" s="109"/>
      <c r="Z751" s="109"/>
      <c r="AA751" s="109"/>
      <c r="AB751" s="109"/>
      <c r="AC751" s="109"/>
      <c r="AD751" s="109"/>
      <c r="AE751" s="109"/>
      <c r="AF751" s="109"/>
      <c r="AG751" s="109"/>
      <c r="AH751" s="109"/>
      <c r="AI751" s="109"/>
      <c r="AJ751" s="109"/>
      <c r="AK751" s="109"/>
      <c r="AL751" s="109"/>
      <c r="AM751" s="109"/>
      <c r="AN751" s="109"/>
      <c r="AO751" s="109"/>
      <c r="AP751" s="109"/>
      <c r="AQ751" s="109"/>
      <c r="AR751" s="109"/>
      <c r="AS751" s="109"/>
      <c r="AT751" s="109"/>
      <c r="AU751" s="109"/>
      <c r="AV751" s="109"/>
      <c r="AW751" s="109"/>
      <c r="AX751" s="109"/>
      <c r="AY751" s="109"/>
      <c r="AZ751" s="109"/>
      <c r="BA751" s="109"/>
      <c r="BB751" s="109"/>
      <c r="BC751" s="109"/>
      <c r="BD751" s="109"/>
      <c r="BE751" s="109"/>
      <c r="BF751" s="109"/>
      <c r="BG751" s="109"/>
      <c r="BH751" s="109"/>
      <c r="BI751" s="109"/>
      <c r="BJ751" s="109"/>
      <c r="BK751" s="109"/>
      <c r="BL751" s="109"/>
      <c r="BM751" s="109"/>
      <c r="BN751" s="109"/>
      <c r="BO751" s="109"/>
      <c r="BP751" s="109"/>
      <c r="BQ751" s="109"/>
      <c r="BR751" s="109"/>
      <c r="BS751" s="109"/>
      <c r="BT751" s="109"/>
      <c r="BU751" s="109"/>
    </row>
    <row r="752" ht="15.75" customHeight="1">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10"/>
      <c r="X752" s="109"/>
      <c r="Y752" s="109"/>
      <c r="Z752" s="109"/>
      <c r="AA752" s="109"/>
      <c r="AB752" s="109"/>
      <c r="AC752" s="109"/>
      <c r="AD752" s="109"/>
      <c r="AE752" s="109"/>
      <c r="AF752" s="109"/>
      <c r="AG752" s="109"/>
      <c r="AH752" s="109"/>
      <c r="AI752" s="109"/>
      <c r="AJ752" s="109"/>
      <c r="AK752" s="109"/>
      <c r="AL752" s="109"/>
      <c r="AM752" s="109"/>
      <c r="AN752" s="109"/>
      <c r="AO752" s="109"/>
      <c r="AP752" s="109"/>
      <c r="AQ752" s="109"/>
      <c r="AR752" s="109"/>
      <c r="AS752" s="109"/>
      <c r="AT752" s="109"/>
      <c r="AU752" s="109"/>
      <c r="AV752" s="109"/>
      <c r="AW752" s="109"/>
      <c r="AX752" s="109"/>
      <c r="AY752" s="109"/>
      <c r="AZ752" s="109"/>
      <c r="BA752" s="109"/>
      <c r="BB752" s="109"/>
      <c r="BC752" s="109"/>
      <c r="BD752" s="109"/>
      <c r="BE752" s="109"/>
      <c r="BF752" s="109"/>
      <c r="BG752" s="109"/>
      <c r="BH752" s="109"/>
      <c r="BI752" s="109"/>
      <c r="BJ752" s="109"/>
      <c r="BK752" s="109"/>
      <c r="BL752" s="109"/>
      <c r="BM752" s="109"/>
      <c r="BN752" s="109"/>
      <c r="BO752" s="109"/>
      <c r="BP752" s="109"/>
      <c r="BQ752" s="109"/>
      <c r="BR752" s="109"/>
      <c r="BS752" s="109"/>
      <c r="BT752" s="109"/>
      <c r="BU752" s="109"/>
    </row>
    <row r="753" ht="15.75" customHeight="1">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10"/>
      <c r="X753" s="109"/>
      <c r="Y753" s="109"/>
      <c r="Z753" s="109"/>
      <c r="AA753" s="109"/>
      <c r="AB753" s="109"/>
      <c r="AC753" s="109"/>
      <c r="AD753" s="109"/>
      <c r="AE753" s="109"/>
      <c r="AF753" s="109"/>
      <c r="AG753" s="109"/>
      <c r="AH753" s="109"/>
      <c r="AI753" s="109"/>
      <c r="AJ753" s="109"/>
      <c r="AK753" s="109"/>
      <c r="AL753" s="109"/>
      <c r="AM753" s="109"/>
      <c r="AN753" s="109"/>
      <c r="AO753" s="109"/>
      <c r="AP753" s="109"/>
      <c r="AQ753" s="109"/>
      <c r="AR753" s="109"/>
      <c r="AS753" s="109"/>
      <c r="AT753" s="109"/>
      <c r="AU753" s="109"/>
      <c r="AV753" s="109"/>
      <c r="AW753" s="109"/>
      <c r="AX753" s="109"/>
      <c r="AY753" s="109"/>
      <c r="AZ753" s="109"/>
      <c r="BA753" s="109"/>
      <c r="BB753" s="109"/>
      <c r="BC753" s="109"/>
      <c r="BD753" s="109"/>
      <c r="BE753" s="109"/>
      <c r="BF753" s="109"/>
      <c r="BG753" s="109"/>
      <c r="BH753" s="109"/>
      <c r="BI753" s="109"/>
      <c r="BJ753" s="109"/>
      <c r="BK753" s="109"/>
      <c r="BL753" s="109"/>
      <c r="BM753" s="109"/>
      <c r="BN753" s="109"/>
      <c r="BO753" s="109"/>
      <c r="BP753" s="109"/>
      <c r="BQ753" s="109"/>
      <c r="BR753" s="109"/>
      <c r="BS753" s="109"/>
      <c r="BT753" s="109"/>
      <c r="BU753" s="109"/>
    </row>
    <row r="754" ht="15.75" customHeight="1">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10"/>
      <c r="X754" s="109"/>
      <c r="Y754" s="109"/>
      <c r="Z754" s="109"/>
      <c r="AA754" s="109"/>
      <c r="AB754" s="109"/>
      <c r="AC754" s="109"/>
      <c r="AD754" s="109"/>
      <c r="AE754" s="109"/>
      <c r="AF754" s="109"/>
      <c r="AG754" s="109"/>
      <c r="AH754" s="109"/>
      <c r="AI754" s="109"/>
      <c r="AJ754" s="109"/>
      <c r="AK754" s="109"/>
      <c r="AL754" s="109"/>
      <c r="AM754" s="109"/>
      <c r="AN754" s="109"/>
      <c r="AO754" s="109"/>
      <c r="AP754" s="109"/>
      <c r="AQ754" s="109"/>
      <c r="AR754" s="109"/>
      <c r="AS754" s="109"/>
      <c r="AT754" s="109"/>
      <c r="AU754" s="109"/>
      <c r="AV754" s="109"/>
      <c r="AW754" s="109"/>
      <c r="AX754" s="109"/>
      <c r="AY754" s="109"/>
      <c r="AZ754" s="109"/>
      <c r="BA754" s="109"/>
      <c r="BB754" s="109"/>
      <c r="BC754" s="109"/>
      <c r="BD754" s="109"/>
      <c r="BE754" s="109"/>
      <c r="BF754" s="109"/>
      <c r="BG754" s="109"/>
      <c r="BH754" s="109"/>
      <c r="BI754" s="109"/>
      <c r="BJ754" s="109"/>
      <c r="BK754" s="109"/>
      <c r="BL754" s="109"/>
      <c r="BM754" s="109"/>
      <c r="BN754" s="109"/>
      <c r="BO754" s="109"/>
      <c r="BP754" s="109"/>
      <c r="BQ754" s="109"/>
      <c r="BR754" s="109"/>
      <c r="BS754" s="109"/>
      <c r="BT754" s="109"/>
      <c r="BU754" s="109"/>
    </row>
    <row r="755" ht="15.75" customHeight="1">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10"/>
      <c r="X755" s="109"/>
      <c r="Y755" s="109"/>
      <c r="Z755" s="109"/>
      <c r="AA755" s="109"/>
      <c r="AB755" s="109"/>
      <c r="AC755" s="109"/>
      <c r="AD755" s="109"/>
      <c r="AE755" s="109"/>
      <c r="AF755" s="109"/>
      <c r="AG755" s="109"/>
      <c r="AH755" s="109"/>
      <c r="AI755" s="109"/>
      <c r="AJ755" s="109"/>
      <c r="AK755" s="109"/>
      <c r="AL755" s="109"/>
      <c r="AM755" s="109"/>
      <c r="AN755" s="109"/>
      <c r="AO755" s="109"/>
      <c r="AP755" s="109"/>
      <c r="AQ755" s="109"/>
      <c r="AR755" s="109"/>
      <c r="AS755" s="109"/>
      <c r="AT755" s="109"/>
      <c r="AU755" s="109"/>
      <c r="AV755" s="109"/>
      <c r="AW755" s="109"/>
      <c r="AX755" s="109"/>
      <c r="AY755" s="109"/>
      <c r="AZ755" s="109"/>
      <c r="BA755" s="109"/>
      <c r="BB755" s="109"/>
      <c r="BC755" s="109"/>
      <c r="BD755" s="109"/>
      <c r="BE755" s="109"/>
      <c r="BF755" s="109"/>
      <c r="BG755" s="109"/>
      <c r="BH755" s="109"/>
      <c r="BI755" s="109"/>
      <c r="BJ755" s="109"/>
      <c r="BK755" s="109"/>
      <c r="BL755" s="109"/>
      <c r="BM755" s="109"/>
      <c r="BN755" s="109"/>
      <c r="BO755" s="109"/>
      <c r="BP755" s="109"/>
      <c r="BQ755" s="109"/>
      <c r="BR755" s="109"/>
      <c r="BS755" s="109"/>
      <c r="BT755" s="109"/>
      <c r="BU755" s="109"/>
    </row>
    <row r="756" ht="15.75" customHeight="1">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10"/>
      <c r="X756" s="109"/>
      <c r="Y756" s="109"/>
      <c r="Z756" s="109"/>
      <c r="AA756" s="109"/>
      <c r="AB756" s="109"/>
      <c r="AC756" s="109"/>
      <c r="AD756" s="109"/>
      <c r="AE756" s="109"/>
      <c r="AF756" s="109"/>
      <c r="AG756" s="109"/>
      <c r="AH756" s="109"/>
      <c r="AI756" s="109"/>
      <c r="AJ756" s="109"/>
      <c r="AK756" s="109"/>
      <c r="AL756" s="109"/>
      <c r="AM756" s="109"/>
      <c r="AN756" s="109"/>
      <c r="AO756" s="109"/>
      <c r="AP756" s="109"/>
      <c r="AQ756" s="109"/>
      <c r="AR756" s="109"/>
      <c r="AS756" s="109"/>
      <c r="AT756" s="109"/>
      <c r="AU756" s="109"/>
      <c r="AV756" s="109"/>
      <c r="AW756" s="109"/>
      <c r="AX756" s="109"/>
      <c r="AY756" s="109"/>
      <c r="AZ756" s="109"/>
      <c r="BA756" s="109"/>
      <c r="BB756" s="109"/>
      <c r="BC756" s="109"/>
      <c r="BD756" s="109"/>
      <c r="BE756" s="109"/>
      <c r="BF756" s="109"/>
      <c r="BG756" s="109"/>
      <c r="BH756" s="109"/>
      <c r="BI756" s="109"/>
      <c r="BJ756" s="109"/>
      <c r="BK756" s="109"/>
      <c r="BL756" s="109"/>
      <c r="BM756" s="109"/>
      <c r="BN756" s="109"/>
      <c r="BO756" s="109"/>
      <c r="BP756" s="109"/>
      <c r="BQ756" s="109"/>
      <c r="BR756" s="109"/>
      <c r="BS756" s="109"/>
      <c r="BT756" s="109"/>
      <c r="BU756" s="109"/>
    </row>
    <row r="757" ht="15.75" customHeight="1">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10"/>
      <c r="X757" s="109"/>
      <c r="Y757" s="109"/>
      <c r="Z757" s="109"/>
      <c r="AA757" s="109"/>
      <c r="AB757" s="109"/>
      <c r="AC757" s="109"/>
      <c r="AD757" s="109"/>
      <c r="AE757" s="109"/>
      <c r="AF757" s="109"/>
      <c r="AG757" s="109"/>
      <c r="AH757" s="109"/>
      <c r="AI757" s="109"/>
      <c r="AJ757" s="109"/>
      <c r="AK757" s="109"/>
      <c r="AL757" s="109"/>
      <c r="AM757" s="109"/>
      <c r="AN757" s="109"/>
      <c r="AO757" s="109"/>
      <c r="AP757" s="109"/>
      <c r="AQ757" s="109"/>
      <c r="AR757" s="109"/>
      <c r="AS757" s="109"/>
      <c r="AT757" s="109"/>
      <c r="AU757" s="109"/>
      <c r="AV757" s="109"/>
      <c r="AW757" s="109"/>
      <c r="AX757" s="109"/>
      <c r="AY757" s="109"/>
      <c r="AZ757" s="109"/>
      <c r="BA757" s="109"/>
      <c r="BB757" s="109"/>
      <c r="BC757" s="109"/>
      <c r="BD757" s="109"/>
      <c r="BE757" s="109"/>
      <c r="BF757" s="109"/>
      <c r="BG757" s="109"/>
      <c r="BH757" s="109"/>
      <c r="BI757" s="109"/>
      <c r="BJ757" s="109"/>
      <c r="BK757" s="109"/>
      <c r="BL757" s="109"/>
      <c r="BM757" s="109"/>
      <c r="BN757" s="109"/>
      <c r="BO757" s="109"/>
      <c r="BP757" s="109"/>
      <c r="BQ757" s="109"/>
      <c r="BR757" s="109"/>
      <c r="BS757" s="109"/>
      <c r="BT757" s="109"/>
      <c r="BU757" s="109"/>
    </row>
    <row r="758" ht="15.75" customHeight="1">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10"/>
      <c r="X758" s="109"/>
      <c r="Y758" s="109"/>
      <c r="Z758" s="109"/>
      <c r="AA758" s="109"/>
      <c r="AB758" s="109"/>
      <c r="AC758" s="109"/>
      <c r="AD758" s="109"/>
      <c r="AE758" s="109"/>
      <c r="AF758" s="109"/>
      <c r="AG758" s="109"/>
      <c r="AH758" s="109"/>
      <c r="AI758" s="109"/>
      <c r="AJ758" s="109"/>
      <c r="AK758" s="109"/>
      <c r="AL758" s="109"/>
      <c r="AM758" s="109"/>
      <c r="AN758" s="109"/>
      <c r="AO758" s="109"/>
      <c r="AP758" s="109"/>
      <c r="AQ758" s="109"/>
      <c r="AR758" s="109"/>
      <c r="AS758" s="109"/>
      <c r="AT758" s="109"/>
      <c r="AU758" s="109"/>
      <c r="AV758" s="109"/>
      <c r="AW758" s="109"/>
      <c r="AX758" s="109"/>
      <c r="AY758" s="109"/>
      <c r="AZ758" s="109"/>
      <c r="BA758" s="109"/>
      <c r="BB758" s="109"/>
      <c r="BC758" s="109"/>
      <c r="BD758" s="109"/>
      <c r="BE758" s="109"/>
      <c r="BF758" s="109"/>
      <c r="BG758" s="109"/>
      <c r="BH758" s="109"/>
      <c r="BI758" s="109"/>
      <c r="BJ758" s="109"/>
      <c r="BK758" s="109"/>
      <c r="BL758" s="109"/>
      <c r="BM758" s="109"/>
      <c r="BN758" s="109"/>
      <c r="BO758" s="109"/>
      <c r="BP758" s="109"/>
      <c r="BQ758" s="109"/>
      <c r="BR758" s="109"/>
      <c r="BS758" s="109"/>
      <c r="BT758" s="109"/>
      <c r="BU758" s="109"/>
    </row>
    <row r="759" ht="15.75" customHeight="1">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10"/>
      <c r="X759" s="109"/>
      <c r="Y759" s="109"/>
      <c r="Z759" s="109"/>
      <c r="AA759" s="109"/>
      <c r="AB759" s="109"/>
      <c r="AC759" s="109"/>
      <c r="AD759" s="109"/>
      <c r="AE759" s="109"/>
      <c r="AF759" s="109"/>
      <c r="AG759" s="109"/>
      <c r="AH759" s="109"/>
      <c r="AI759" s="109"/>
      <c r="AJ759" s="109"/>
      <c r="AK759" s="109"/>
      <c r="AL759" s="109"/>
      <c r="AM759" s="109"/>
      <c r="AN759" s="109"/>
      <c r="AO759" s="109"/>
      <c r="AP759" s="109"/>
      <c r="AQ759" s="109"/>
      <c r="AR759" s="109"/>
      <c r="AS759" s="109"/>
      <c r="AT759" s="109"/>
      <c r="AU759" s="109"/>
      <c r="AV759" s="109"/>
      <c r="AW759" s="109"/>
      <c r="AX759" s="109"/>
      <c r="AY759" s="109"/>
      <c r="AZ759" s="109"/>
      <c r="BA759" s="109"/>
      <c r="BB759" s="109"/>
      <c r="BC759" s="109"/>
      <c r="BD759" s="109"/>
      <c r="BE759" s="109"/>
      <c r="BF759" s="109"/>
      <c r="BG759" s="109"/>
      <c r="BH759" s="109"/>
      <c r="BI759" s="109"/>
      <c r="BJ759" s="109"/>
      <c r="BK759" s="109"/>
      <c r="BL759" s="109"/>
      <c r="BM759" s="109"/>
      <c r="BN759" s="109"/>
      <c r="BO759" s="109"/>
      <c r="BP759" s="109"/>
      <c r="BQ759" s="109"/>
      <c r="BR759" s="109"/>
      <c r="BS759" s="109"/>
      <c r="BT759" s="109"/>
      <c r="BU759" s="109"/>
    </row>
    <row r="760" ht="15.75" customHeight="1">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10"/>
      <c r="X760" s="109"/>
      <c r="Y760" s="109"/>
      <c r="Z760" s="109"/>
      <c r="AA760" s="109"/>
      <c r="AB760" s="109"/>
      <c r="AC760" s="109"/>
      <c r="AD760" s="109"/>
      <c r="AE760" s="109"/>
      <c r="AF760" s="109"/>
      <c r="AG760" s="109"/>
      <c r="AH760" s="109"/>
      <c r="AI760" s="109"/>
      <c r="AJ760" s="109"/>
      <c r="AK760" s="109"/>
      <c r="AL760" s="109"/>
      <c r="AM760" s="109"/>
      <c r="AN760" s="109"/>
      <c r="AO760" s="109"/>
      <c r="AP760" s="109"/>
      <c r="AQ760" s="109"/>
      <c r="AR760" s="109"/>
      <c r="AS760" s="109"/>
      <c r="AT760" s="109"/>
      <c r="AU760" s="109"/>
      <c r="AV760" s="109"/>
      <c r="AW760" s="109"/>
      <c r="AX760" s="109"/>
      <c r="AY760" s="109"/>
      <c r="AZ760" s="109"/>
      <c r="BA760" s="109"/>
      <c r="BB760" s="109"/>
      <c r="BC760" s="109"/>
      <c r="BD760" s="109"/>
      <c r="BE760" s="109"/>
      <c r="BF760" s="109"/>
      <c r="BG760" s="109"/>
      <c r="BH760" s="109"/>
      <c r="BI760" s="109"/>
      <c r="BJ760" s="109"/>
      <c r="BK760" s="109"/>
      <c r="BL760" s="109"/>
      <c r="BM760" s="109"/>
      <c r="BN760" s="109"/>
      <c r="BO760" s="109"/>
      <c r="BP760" s="109"/>
      <c r="BQ760" s="109"/>
      <c r="BR760" s="109"/>
      <c r="BS760" s="109"/>
      <c r="BT760" s="109"/>
      <c r="BU760" s="109"/>
    </row>
    <row r="761" ht="15.75" customHeight="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10"/>
      <c r="X761" s="109"/>
      <c r="Y761" s="109"/>
      <c r="Z761" s="109"/>
      <c r="AA761" s="109"/>
      <c r="AB761" s="109"/>
      <c r="AC761" s="109"/>
      <c r="AD761" s="109"/>
      <c r="AE761" s="109"/>
      <c r="AF761" s="109"/>
      <c r="AG761" s="109"/>
      <c r="AH761" s="109"/>
      <c r="AI761" s="109"/>
      <c r="AJ761" s="109"/>
      <c r="AK761" s="109"/>
      <c r="AL761" s="109"/>
      <c r="AM761" s="109"/>
      <c r="AN761" s="109"/>
      <c r="AO761" s="109"/>
      <c r="AP761" s="109"/>
      <c r="AQ761" s="109"/>
      <c r="AR761" s="109"/>
      <c r="AS761" s="109"/>
      <c r="AT761" s="109"/>
      <c r="AU761" s="109"/>
      <c r="AV761" s="109"/>
      <c r="AW761" s="109"/>
      <c r="AX761" s="109"/>
      <c r="AY761" s="109"/>
      <c r="AZ761" s="109"/>
      <c r="BA761" s="109"/>
      <c r="BB761" s="109"/>
      <c r="BC761" s="109"/>
      <c r="BD761" s="109"/>
      <c r="BE761" s="109"/>
      <c r="BF761" s="109"/>
      <c r="BG761" s="109"/>
      <c r="BH761" s="109"/>
      <c r="BI761" s="109"/>
      <c r="BJ761" s="109"/>
      <c r="BK761" s="109"/>
      <c r="BL761" s="109"/>
      <c r="BM761" s="109"/>
      <c r="BN761" s="109"/>
      <c r="BO761" s="109"/>
      <c r="BP761" s="109"/>
      <c r="BQ761" s="109"/>
      <c r="BR761" s="109"/>
      <c r="BS761" s="109"/>
      <c r="BT761" s="109"/>
      <c r="BU761" s="109"/>
    </row>
    <row r="762" ht="15.75" customHeight="1">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10"/>
      <c r="X762" s="109"/>
      <c r="Y762" s="109"/>
      <c r="Z762" s="109"/>
      <c r="AA762" s="109"/>
      <c r="AB762" s="109"/>
      <c r="AC762" s="109"/>
      <c r="AD762" s="109"/>
      <c r="AE762" s="109"/>
      <c r="AF762" s="109"/>
      <c r="AG762" s="109"/>
      <c r="AH762" s="109"/>
      <c r="AI762" s="109"/>
      <c r="AJ762" s="109"/>
      <c r="AK762" s="109"/>
      <c r="AL762" s="109"/>
      <c r="AM762" s="109"/>
      <c r="AN762" s="109"/>
      <c r="AO762" s="109"/>
      <c r="AP762" s="109"/>
      <c r="AQ762" s="109"/>
      <c r="AR762" s="109"/>
      <c r="AS762" s="109"/>
      <c r="AT762" s="109"/>
      <c r="AU762" s="109"/>
      <c r="AV762" s="109"/>
      <c r="AW762" s="109"/>
      <c r="AX762" s="109"/>
      <c r="AY762" s="109"/>
      <c r="AZ762" s="109"/>
      <c r="BA762" s="109"/>
      <c r="BB762" s="109"/>
      <c r="BC762" s="109"/>
      <c r="BD762" s="109"/>
      <c r="BE762" s="109"/>
      <c r="BF762" s="109"/>
      <c r="BG762" s="109"/>
      <c r="BH762" s="109"/>
      <c r="BI762" s="109"/>
      <c r="BJ762" s="109"/>
      <c r="BK762" s="109"/>
      <c r="BL762" s="109"/>
      <c r="BM762" s="109"/>
      <c r="BN762" s="109"/>
      <c r="BO762" s="109"/>
      <c r="BP762" s="109"/>
      <c r="BQ762" s="109"/>
      <c r="BR762" s="109"/>
      <c r="BS762" s="109"/>
      <c r="BT762" s="109"/>
      <c r="BU762" s="109"/>
    </row>
    <row r="763" ht="15.75" customHeight="1">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10"/>
      <c r="X763" s="109"/>
      <c r="Y763" s="109"/>
      <c r="Z763" s="109"/>
      <c r="AA763" s="109"/>
      <c r="AB763" s="109"/>
      <c r="AC763" s="109"/>
      <c r="AD763" s="109"/>
      <c r="AE763" s="109"/>
      <c r="AF763" s="109"/>
      <c r="AG763" s="109"/>
      <c r="AH763" s="109"/>
      <c r="AI763" s="109"/>
      <c r="AJ763" s="109"/>
      <c r="AK763" s="109"/>
      <c r="AL763" s="109"/>
      <c r="AM763" s="109"/>
      <c r="AN763" s="109"/>
      <c r="AO763" s="109"/>
      <c r="AP763" s="109"/>
      <c r="AQ763" s="109"/>
      <c r="AR763" s="109"/>
      <c r="AS763" s="109"/>
      <c r="AT763" s="109"/>
      <c r="AU763" s="109"/>
      <c r="AV763" s="109"/>
      <c r="AW763" s="109"/>
      <c r="AX763" s="109"/>
      <c r="AY763" s="109"/>
      <c r="AZ763" s="109"/>
      <c r="BA763" s="109"/>
      <c r="BB763" s="109"/>
      <c r="BC763" s="109"/>
      <c r="BD763" s="109"/>
      <c r="BE763" s="109"/>
      <c r="BF763" s="109"/>
      <c r="BG763" s="109"/>
      <c r="BH763" s="109"/>
      <c r="BI763" s="109"/>
      <c r="BJ763" s="109"/>
      <c r="BK763" s="109"/>
      <c r="BL763" s="109"/>
      <c r="BM763" s="109"/>
      <c r="BN763" s="109"/>
      <c r="BO763" s="109"/>
      <c r="BP763" s="109"/>
      <c r="BQ763" s="109"/>
      <c r="BR763" s="109"/>
      <c r="BS763" s="109"/>
      <c r="BT763" s="109"/>
      <c r="BU763" s="109"/>
    </row>
    <row r="764" ht="15.75" customHeight="1">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10"/>
      <c r="X764" s="109"/>
      <c r="Y764" s="109"/>
      <c r="Z764" s="109"/>
      <c r="AA764" s="109"/>
      <c r="AB764" s="109"/>
      <c r="AC764" s="109"/>
      <c r="AD764" s="109"/>
      <c r="AE764" s="109"/>
      <c r="AF764" s="109"/>
      <c r="AG764" s="109"/>
      <c r="AH764" s="109"/>
      <c r="AI764" s="109"/>
      <c r="AJ764" s="109"/>
      <c r="AK764" s="109"/>
      <c r="AL764" s="109"/>
      <c r="AM764" s="109"/>
      <c r="AN764" s="109"/>
      <c r="AO764" s="109"/>
      <c r="AP764" s="109"/>
      <c r="AQ764" s="109"/>
      <c r="AR764" s="109"/>
      <c r="AS764" s="109"/>
      <c r="AT764" s="109"/>
      <c r="AU764" s="109"/>
      <c r="AV764" s="109"/>
      <c r="AW764" s="109"/>
      <c r="AX764" s="109"/>
      <c r="AY764" s="109"/>
      <c r="AZ764" s="109"/>
      <c r="BA764" s="109"/>
      <c r="BB764" s="109"/>
      <c r="BC764" s="109"/>
      <c r="BD764" s="109"/>
      <c r="BE764" s="109"/>
      <c r="BF764" s="109"/>
      <c r="BG764" s="109"/>
      <c r="BH764" s="109"/>
      <c r="BI764" s="109"/>
      <c r="BJ764" s="109"/>
      <c r="BK764" s="109"/>
      <c r="BL764" s="109"/>
      <c r="BM764" s="109"/>
      <c r="BN764" s="109"/>
      <c r="BO764" s="109"/>
      <c r="BP764" s="109"/>
      <c r="BQ764" s="109"/>
      <c r="BR764" s="109"/>
      <c r="BS764" s="109"/>
      <c r="BT764" s="109"/>
      <c r="BU764" s="109"/>
    </row>
    <row r="765" ht="15.75" customHeight="1">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10"/>
      <c r="X765" s="109"/>
      <c r="Y765" s="109"/>
      <c r="Z765" s="109"/>
      <c r="AA765" s="109"/>
      <c r="AB765" s="109"/>
      <c r="AC765" s="109"/>
      <c r="AD765" s="109"/>
      <c r="AE765" s="109"/>
      <c r="AF765" s="109"/>
      <c r="AG765" s="109"/>
      <c r="AH765" s="109"/>
      <c r="AI765" s="109"/>
      <c r="AJ765" s="109"/>
      <c r="AK765" s="109"/>
      <c r="AL765" s="109"/>
      <c r="AM765" s="109"/>
      <c r="AN765" s="109"/>
      <c r="AO765" s="109"/>
      <c r="AP765" s="109"/>
      <c r="AQ765" s="109"/>
      <c r="AR765" s="109"/>
      <c r="AS765" s="109"/>
      <c r="AT765" s="109"/>
      <c r="AU765" s="109"/>
      <c r="AV765" s="109"/>
      <c r="AW765" s="109"/>
      <c r="AX765" s="109"/>
      <c r="AY765" s="109"/>
      <c r="AZ765" s="109"/>
      <c r="BA765" s="109"/>
      <c r="BB765" s="109"/>
      <c r="BC765" s="109"/>
      <c r="BD765" s="109"/>
      <c r="BE765" s="109"/>
      <c r="BF765" s="109"/>
      <c r="BG765" s="109"/>
      <c r="BH765" s="109"/>
      <c r="BI765" s="109"/>
      <c r="BJ765" s="109"/>
      <c r="BK765" s="109"/>
      <c r="BL765" s="109"/>
      <c r="BM765" s="109"/>
      <c r="BN765" s="109"/>
      <c r="BO765" s="109"/>
      <c r="BP765" s="109"/>
      <c r="BQ765" s="109"/>
      <c r="BR765" s="109"/>
      <c r="BS765" s="109"/>
      <c r="BT765" s="109"/>
      <c r="BU765" s="109"/>
    </row>
    <row r="766" ht="15.75" customHeight="1">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10"/>
      <c r="X766" s="109"/>
      <c r="Y766" s="109"/>
      <c r="Z766" s="109"/>
      <c r="AA766" s="109"/>
      <c r="AB766" s="109"/>
      <c r="AC766" s="109"/>
      <c r="AD766" s="109"/>
      <c r="AE766" s="109"/>
      <c r="AF766" s="109"/>
      <c r="AG766" s="109"/>
      <c r="AH766" s="109"/>
      <c r="AI766" s="109"/>
      <c r="AJ766" s="109"/>
      <c r="AK766" s="109"/>
      <c r="AL766" s="109"/>
      <c r="AM766" s="109"/>
      <c r="AN766" s="109"/>
      <c r="AO766" s="109"/>
      <c r="AP766" s="109"/>
      <c r="AQ766" s="109"/>
      <c r="AR766" s="109"/>
      <c r="AS766" s="109"/>
      <c r="AT766" s="109"/>
      <c r="AU766" s="109"/>
      <c r="AV766" s="109"/>
      <c r="AW766" s="109"/>
      <c r="AX766" s="109"/>
      <c r="AY766" s="109"/>
      <c r="AZ766" s="109"/>
      <c r="BA766" s="109"/>
      <c r="BB766" s="109"/>
      <c r="BC766" s="109"/>
      <c r="BD766" s="109"/>
      <c r="BE766" s="109"/>
      <c r="BF766" s="109"/>
      <c r="BG766" s="109"/>
      <c r="BH766" s="109"/>
      <c r="BI766" s="109"/>
      <c r="BJ766" s="109"/>
      <c r="BK766" s="109"/>
      <c r="BL766" s="109"/>
      <c r="BM766" s="109"/>
      <c r="BN766" s="109"/>
      <c r="BO766" s="109"/>
      <c r="BP766" s="109"/>
      <c r="BQ766" s="109"/>
      <c r="BR766" s="109"/>
      <c r="BS766" s="109"/>
      <c r="BT766" s="109"/>
      <c r="BU766" s="109"/>
    </row>
    <row r="767" ht="15.75" customHeight="1">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10"/>
      <c r="X767" s="109"/>
      <c r="Y767" s="109"/>
      <c r="Z767" s="109"/>
      <c r="AA767" s="109"/>
      <c r="AB767" s="109"/>
      <c r="AC767" s="109"/>
      <c r="AD767" s="109"/>
      <c r="AE767" s="109"/>
      <c r="AF767" s="109"/>
      <c r="AG767" s="109"/>
      <c r="AH767" s="109"/>
      <c r="AI767" s="109"/>
      <c r="AJ767" s="109"/>
      <c r="AK767" s="109"/>
      <c r="AL767" s="109"/>
      <c r="AM767" s="109"/>
      <c r="AN767" s="109"/>
      <c r="AO767" s="109"/>
      <c r="AP767" s="109"/>
      <c r="AQ767" s="109"/>
      <c r="AR767" s="109"/>
      <c r="AS767" s="109"/>
      <c r="AT767" s="109"/>
      <c r="AU767" s="109"/>
      <c r="AV767" s="109"/>
      <c r="AW767" s="109"/>
      <c r="AX767" s="109"/>
      <c r="AY767" s="109"/>
      <c r="AZ767" s="109"/>
      <c r="BA767" s="109"/>
      <c r="BB767" s="109"/>
      <c r="BC767" s="109"/>
      <c r="BD767" s="109"/>
      <c r="BE767" s="109"/>
      <c r="BF767" s="109"/>
      <c r="BG767" s="109"/>
      <c r="BH767" s="109"/>
      <c r="BI767" s="109"/>
      <c r="BJ767" s="109"/>
      <c r="BK767" s="109"/>
      <c r="BL767" s="109"/>
      <c r="BM767" s="109"/>
      <c r="BN767" s="109"/>
      <c r="BO767" s="109"/>
      <c r="BP767" s="109"/>
      <c r="BQ767" s="109"/>
      <c r="BR767" s="109"/>
      <c r="BS767" s="109"/>
      <c r="BT767" s="109"/>
      <c r="BU767" s="109"/>
    </row>
    <row r="768" ht="15.75" customHeight="1">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10"/>
      <c r="X768" s="109"/>
      <c r="Y768" s="109"/>
      <c r="Z768" s="109"/>
      <c r="AA768" s="109"/>
      <c r="AB768" s="109"/>
      <c r="AC768" s="109"/>
      <c r="AD768" s="109"/>
      <c r="AE768" s="109"/>
      <c r="AF768" s="109"/>
      <c r="AG768" s="109"/>
      <c r="AH768" s="109"/>
      <c r="AI768" s="109"/>
      <c r="AJ768" s="109"/>
      <c r="AK768" s="109"/>
      <c r="AL768" s="109"/>
      <c r="AM768" s="109"/>
      <c r="AN768" s="109"/>
      <c r="AO768" s="109"/>
      <c r="AP768" s="109"/>
      <c r="AQ768" s="109"/>
      <c r="AR768" s="109"/>
      <c r="AS768" s="109"/>
      <c r="AT768" s="109"/>
      <c r="AU768" s="109"/>
      <c r="AV768" s="109"/>
      <c r="AW768" s="109"/>
      <c r="AX768" s="109"/>
      <c r="AY768" s="109"/>
      <c r="AZ768" s="109"/>
      <c r="BA768" s="109"/>
      <c r="BB768" s="109"/>
      <c r="BC768" s="109"/>
      <c r="BD768" s="109"/>
      <c r="BE768" s="109"/>
      <c r="BF768" s="109"/>
      <c r="BG768" s="109"/>
      <c r="BH768" s="109"/>
      <c r="BI768" s="109"/>
      <c r="BJ768" s="109"/>
      <c r="BK768" s="109"/>
      <c r="BL768" s="109"/>
      <c r="BM768" s="109"/>
      <c r="BN768" s="109"/>
      <c r="BO768" s="109"/>
      <c r="BP768" s="109"/>
      <c r="BQ768" s="109"/>
      <c r="BR768" s="109"/>
      <c r="BS768" s="109"/>
      <c r="BT768" s="109"/>
      <c r="BU768" s="109"/>
    </row>
    <row r="769" ht="15.75" customHeight="1">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10"/>
      <c r="X769" s="109"/>
      <c r="Y769" s="109"/>
      <c r="Z769" s="109"/>
      <c r="AA769" s="109"/>
      <c r="AB769" s="109"/>
      <c r="AC769" s="109"/>
      <c r="AD769" s="109"/>
      <c r="AE769" s="109"/>
      <c r="AF769" s="109"/>
      <c r="AG769" s="109"/>
      <c r="AH769" s="109"/>
      <c r="AI769" s="109"/>
      <c r="AJ769" s="109"/>
      <c r="AK769" s="109"/>
      <c r="AL769" s="109"/>
      <c r="AM769" s="109"/>
      <c r="AN769" s="109"/>
      <c r="AO769" s="109"/>
      <c r="AP769" s="109"/>
      <c r="AQ769" s="109"/>
      <c r="AR769" s="109"/>
      <c r="AS769" s="109"/>
      <c r="AT769" s="109"/>
      <c r="AU769" s="109"/>
      <c r="AV769" s="109"/>
      <c r="AW769" s="109"/>
      <c r="AX769" s="109"/>
      <c r="AY769" s="109"/>
      <c r="AZ769" s="109"/>
      <c r="BA769" s="109"/>
      <c r="BB769" s="109"/>
      <c r="BC769" s="109"/>
      <c r="BD769" s="109"/>
      <c r="BE769" s="109"/>
      <c r="BF769" s="109"/>
      <c r="BG769" s="109"/>
      <c r="BH769" s="109"/>
      <c r="BI769" s="109"/>
      <c r="BJ769" s="109"/>
      <c r="BK769" s="109"/>
      <c r="BL769" s="109"/>
      <c r="BM769" s="109"/>
      <c r="BN769" s="109"/>
      <c r="BO769" s="109"/>
      <c r="BP769" s="109"/>
      <c r="BQ769" s="109"/>
      <c r="BR769" s="109"/>
      <c r="BS769" s="109"/>
      <c r="BT769" s="109"/>
      <c r="BU769" s="109"/>
    </row>
    <row r="770" ht="15.75" customHeight="1">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10"/>
      <c r="X770" s="109"/>
      <c r="Y770" s="109"/>
      <c r="Z770" s="109"/>
      <c r="AA770" s="109"/>
      <c r="AB770" s="109"/>
      <c r="AC770" s="109"/>
      <c r="AD770" s="109"/>
      <c r="AE770" s="109"/>
      <c r="AF770" s="109"/>
      <c r="AG770" s="109"/>
      <c r="AH770" s="109"/>
      <c r="AI770" s="109"/>
      <c r="AJ770" s="109"/>
      <c r="AK770" s="109"/>
      <c r="AL770" s="109"/>
      <c r="AM770" s="109"/>
      <c r="AN770" s="109"/>
      <c r="AO770" s="109"/>
      <c r="AP770" s="109"/>
      <c r="AQ770" s="109"/>
      <c r="AR770" s="109"/>
      <c r="AS770" s="109"/>
      <c r="AT770" s="109"/>
      <c r="AU770" s="109"/>
      <c r="AV770" s="109"/>
      <c r="AW770" s="109"/>
      <c r="AX770" s="109"/>
      <c r="AY770" s="109"/>
      <c r="AZ770" s="109"/>
      <c r="BA770" s="109"/>
      <c r="BB770" s="109"/>
      <c r="BC770" s="109"/>
      <c r="BD770" s="109"/>
      <c r="BE770" s="109"/>
      <c r="BF770" s="109"/>
      <c r="BG770" s="109"/>
      <c r="BH770" s="109"/>
      <c r="BI770" s="109"/>
      <c r="BJ770" s="109"/>
      <c r="BK770" s="109"/>
      <c r="BL770" s="109"/>
      <c r="BM770" s="109"/>
      <c r="BN770" s="109"/>
      <c r="BO770" s="109"/>
      <c r="BP770" s="109"/>
      <c r="BQ770" s="109"/>
      <c r="BR770" s="109"/>
      <c r="BS770" s="109"/>
      <c r="BT770" s="109"/>
      <c r="BU770" s="109"/>
    </row>
    <row r="771" ht="15.75" customHeight="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10"/>
      <c r="X771" s="109"/>
      <c r="Y771" s="109"/>
      <c r="Z771" s="109"/>
      <c r="AA771" s="109"/>
      <c r="AB771" s="109"/>
      <c r="AC771" s="109"/>
      <c r="AD771" s="109"/>
      <c r="AE771" s="109"/>
      <c r="AF771" s="109"/>
      <c r="AG771" s="109"/>
      <c r="AH771" s="109"/>
      <c r="AI771" s="109"/>
      <c r="AJ771" s="109"/>
      <c r="AK771" s="109"/>
      <c r="AL771" s="109"/>
      <c r="AM771" s="109"/>
      <c r="AN771" s="109"/>
      <c r="AO771" s="109"/>
      <c r="AP771" s="109"/>
      <c r="AQ771" s="109"/>
      <c r="AR771" s="109"/>
      <c r="AS771" s="109"/>
      <c r="AT771" s="109"/>
      <c r="AU771" s="109"/>
      <c r="AV771" s="109"/>
      <c r="AW771" s="109"/>
      <c r="AX771" s="109"/>
      <c r="AY771" s="109"/>
      <c r="AZ771" s="109"/>
      <c r="BA771" s="109"/>
      <c r="BB771" s="109"/>
      <c r="BC771" s="109"/>
      <c r="BD771" s="109"/>
      <c r="BE771" s="109"/>
      <c r="BF771" s="109"/>
      <c r="BG771" s="109"/>
      <c r="BH771" s="109"/>
      <c r="BI771" s="109"/>
      <c r="BJ771" s="109"/>
      <c r="BK771" s="109"/>
      <c r="BL771" s="109"/>
      <c r="BM771" s="109"/>
      <c r="BN771" s="109"/>
      <c r="BO771" s="109"/>
      <c r="BP771" s="109"/>
      <c r="BQ771" s="109"/>
      <c r="BR771" s="109"/>
      <c r="BS771" s="109"/>
      <c r="BT771" s="109"/>
      <c r="BU771" s="109"/>
    </row>
    <row r="772" ht="15.75" customHeight="1">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10"/>
      <c r="X772" s="109"/>
      <c r="Y772" s="109"/>
      <c r="Z772" s="109"/>
      <c r="AA772" s="109"/>
      <c r="AB772" s="109"/>
      <c r="AC772" s="109"/>
      <c r="AD772" s="109"/>
      <c r="AE772" s="109"/>
      <c r="AF772" s="109"/>
      <c r="AG772" s="109"/>
      <c r="AH772" s="109"/>
      <c r="AI772" s="109"/>
      <c r="AJ772" s="109"/>
      <c r="AK772" s="109"/>
      <c r="AL772" s="109"/>
      <c r="AM772" s="109"/>
      <c r="AN772" s="109"/>
      <c r="AO772" s="109"/>
      <c r="AP772" s="109"/>
      <c r="AQ772" s="109"/>
      <c r="AR772" s="109"/>
      <c r="AS772" s="109"/>
      <c r="AT772" s="109"/>
      <c r="AU772" s="109"/>
      <c r="AV772" s="109"/>
      <c r="AW772" s="109"/>
      <c r="AX772" s="109"/>
      <c r="AY772" s="109"/>
      <c r="AZ772" s="109"/>
      <c r="BA772" s="109"/>
      <c r="BB772" s="109"/>
      <c r="BC772" s="109"/>
      <c r="BD772" s="109"/>
      <c r="BE772" s="109"/>
      <c r="BF772" s="109"/>
      <c r="BG772" s="109"/>
      <c r="BH772" s="109"/>
      <c r="BI772" s="109"/>
      <c r="BJ772" s="109"/>
      <c r="BK772" s="109"/>
      <c r="BL772" s="109"/>
      <c r="BM772" s="109"/>
      <c r="BN772" s="109"/>
      <c r="BO772" s="109"/>
      <c r="BP772" s="109"/>
      <c r="BQ772" s="109"/>
      <c r="BR772" s="109"/>
      <c r="BS772" s="109"/>
      <c r="BT772" s="109"/>
      <c r="BU772" s="109"/>
    </row>
    <row r="773" ht="15.75" customHeight="1">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10"/>
      <c r="X773" s="109"/>
      <c r="Y773" s="109"/>
      <c r="Z773" s="109"/>
      <c r="AA773" s="109"/>
      <c r="AB773" s="109"/>
      <c r="AC773" s="109"/>
      <c r="AD773" s="109"/>
      <c r="AE773" s="109"/>
      <c r="AF773" s="109"/>
      <c r="AG773" s="109"/>
      <c r="AH773" s="109"/>
      <c r="AI773" s="109"/>
      <c r="AJ773" s="109"/>
      <c r="AK773" s="109"/>
      <c r="AL773" s="109"/>
      <c r="AM773" s="109"/>
      <c r="AN773" s="109"/>
      <c r="AO773" s="109"/>
      <c r="AP773" s="109"/>
      <c r="AQ773" s="109"/>
      <c r="AR773" s="109"/>
      <c r="AS773" s="109"/>
      <c r="AT773" s="109"/>
      <c r="AU773" s="109"/>
      <c r="AV773" s="109"/>
      <c r="AW773" s="109"/>
      <c r="AX773" s="109"/>
      <c r="AY773" s="109"/>
      <c r="AZ773" s="109"/>
      <c r="BA773" s="109"/>
      <c r="BB773" s="109"/>
      <c r="BC773" s="109"/>
      <c r="BD773" s="109"/>
      <c r="BE773" s="109"/>
      <c r="BF773" s="109"/>
      <c r="BG773" s="109"/>
      <c r="BH773" s="109"/>
      <c r="BI773" s="109"/>
      <c r="BJ773" s="109"/>
      <c r="BK773" s="109"/>
      <c r="BL773" s="109"/>
      <c r="BM773" s="109"/>
      <c r="BN773" s="109"/>
      <c r="BO773" s="109"/>
      <c r="BP773" s="109"/>
      <c r="BQ773" s="109"/>
      <c r="BR773" s="109"/>
      <c r="BS773" s="109"/>
      <c r="BT773" s="109"/>
      <c r="BU773" s="109"/>
    </row>
    <row r="774" ht="15.75" customHeight="1">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10"/>
      <c r="X774" s="109"/>
      <c r="Y774" s="109"/>
      <c r="Z774" s="109"/>
      <c r="AA774" s="109"/>
      <c r="AB774" s="109"/>
      <c r="AC774" s="109"/>
      <c r="AD774" s="109"/>
      <c r="AE774" s="109"/>
      <c r="AF774" s="109"/>
      <c r="AG774" s="109"/>
      <c r="AH774" s="109"/>
      <c r="AI774" s="109"/>
      <c r="AJ774" s="109"/>
      <c r="AK774" s="109"/>
      <c r="AL774" s="109"/>
      <c r="AM774" s="109"/>
      <c r="AN774" s="109"/>
      <c r="AO774" s="109"/>
      <c r="AP774" s="109"/>
      <c r="AQ774" s="109"/>
      <c r="AR774" s="109"/>
      <c r="AS774" s="109"/>
      <c r="AT774" s="109"/>
      <c r="AU774" s="109"/>
      <c r="AV774" s="109"/>
      <c r="AW774" s="109"/>
      <c r="AX774" s="109"/>
      <c r="AY774" s="109"/>
      <c r="AZ774" s="109"/>
      <c r="BA774" s="109"/>
      <c r="BB774" s="109"/>
      <c r="BC774" s="109"/>
      <c r="BD774" s="109"/>
      <c r="BE774" s="109"/>
      <c r="BF774" s="109"/>
      <c r="BG774" s="109"/>
      <c r="BH774" s="109"/>
      <c r="BI774" s="109"/>
      <c r="BJ774" s="109"/>
      <c r="BK774" s="109"/>
      <c r="BL774" s="109"/>
      <c r="BM774" s="109"/>
      <c r="BN774" s="109"/>
      <c r="BO774" s="109"/>
      <c r="BP774" s="109"/>
      <c r="BQ774" s="109"/>
      <c r="BR774" s="109"/>
      <c r="BS774" s="109"/>
      <c r="BT774" s="109"/>
      <c r="BU774" s="109"/>
    </row>
    <row r="775" ht="15.75" customHeight="1">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10"/>
      <c r="X775" s="109"/>
      <c r="Y775" s="109"/>
      <c r="Z775" s="109"/>
      <c r="AA775" s="109"/>
      <c r="AB775" s="109"/>
      <c r="AC775" s="109"/>
      <c r="AD775" s="109"/>
      <c r="AE775" s="109"/>
      <c r="AF775" s="109"/>
      <c r="AG775" s="109"/>
      <c r="AH775" s="109"/>
      <c r="AI775" s="109"/>
      <c r="AJ775" s="109"/>
      <c r="AK775" s="109"/>
      <c r="AL775" s="109"/>
      <c r="AM775" s="109"/>
      <c r="AN775" s="109"/>
      <c r="AO775" s="109"/>
      <c r="AP775" s="109"/>
      <c r="AQ775" s="109"/>
      <c r="AR775" s="109"/>
      <c r="AS775" s="109"/>
      <c r="AT775" s="109"/>
      <c r="AU775" s="109"/>
      <c r="AV775" s="109"/>
      <c r="AW775" s="109"/>
      <c r="AX775" s="109"/>
      <c r="AY775" s="109"/>
      <c r="AZ775" s="109"/>
      <c r="BA775" s="109"/>
      <c r="BB775" s="109"/>
      <c r="BC775" s="109"/>
      <c r="BD775" s="109"/>
      <c r="BE775" s="109"/>
      <c r="BF775" s="109"/>
      <c r="BG775" s="109"/>
      <c r="BH775" s="109"/>
      <c r="BI775" s="109"/>
      <c r="BJ775" s="109"/>
      <c r="BK775" s="109"/>
      <c r="BL775" s="109"/>
      <c r="BM775" s="109"/>
      <c r="BN775" s="109"/>
      <c r="BO775" s="109"/>
      <c r="BP775" s="109"/>
      <c r="BQ775" s="109"/>
      <c r="BR775" s="109"/>
      <c r="BS775" s="109"/>
      <c r="BT775" s="109"/>
      <c r="BU775" s="109"/>
    </row>
    <row r="776" ht="15.75" customHeight="1">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10"/>
      <c r="X776" s="109"/>
      <c r="Y776" s="109"/>
      <c r="Z776" s="109"/>
      <c r="AA776" s="109"/>
      <c r="AB776" s="109"/>
      <c r="AC776" s="109"/>
      <c r="AD776" s="109"/>
      <c r="AE776" s="109"/>
      <c r="AF776" s="109"/>
      <c r="AG776" s="109"/>
      <c r="AH776" s="109"/>
      <c r="AI776" s="109"/>
      <c r="AJ776" s="109"/>
      <c r="AK776" s="109"/>
      <c r="AL776" s="109"/>
      <c r="AM776" s="109"/>
      <c r="AN776" s="109"/>
      <c r="AO776" s="109"/>
      <c r="AP776" s="109"/>
      <c r="AQ776" s="109"/>
      <c r="AR776" s="109"/>
      <c r="AS776" s="109"/>
      <c r="AT776" s="109"/>
      <c r="AU776" s="109"/>
      <c r="AV776" s="109"/>
      <c r="AW776" s="109"/>
      <c r="AX776" s="109"/>
      <c r="AY776" s="109"/>
      <c r="AZ776" s="109"/>
      <c r="BA776" s="109"/>
      <c r="BB776" s="109"/>
      <c r="BC776" s="109"/>
      <c r="BD776" s="109"/>
      <c r="BE776" s="109"/>
      <c r="BF776" s="109"/>
      <c r="BG776" s="109"/>
      <c r="BH776" s="109"/>
      <c r="BI776" s="109"/>
      <c r="BJ776" s="109"/>
      <c r="BK776" s="109"/>
      <c r="BL776" s="109"/>
      <c r="BM776" s="109"/>
      <c r="BN776" s="109"/>
      <c r="BO776" s="109"/>
      <c r="BP776" s="109"/>
      <c r="BQ776" s="109"/>
      <c r="BR776" s="109"/>
      <c r="BS776" s="109"/>
      <c r="BT776" s="109"/>
      <c r="BU776" s="109"/>
    </row>
    <row r="777" ht="15.75" customHeight="1">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10"/>
      <c r="X777" s="109"/>
      <c r="Y777" s="109"/>
      <c r="Z777" s="109"/>
      <c r="AA777" s="109"/>
      <c r="AB777" s="109"/>
      <c r="AC777" s="109"/>
      <c r="AD777" s="109"/>
      <c r="AE777" s="109"/>
      <c r="AF777" s="109"/>
      <c r="AG777" s="109"/>
      <c r="AH777" s="109"/>
      <c r="AI777" s="109"/>
      <c r="AJ777" s="109"/>
      <c r="AK777" s="109"/>
      <c r="AL777" s="109"/>
      <c r="AM777" s="109"/>
      <c r="AN777" s="109"/>
      <c r="AO777" s="109"/>
      <c r="AP777" s="109"/>
      <c r="AQ777" s="109"/>
      <c r="AR777" s="109"/>
      <c r="AS777" s="109"/>
      <c r="AT777" s="109"/>
      <c r="AU777" s="109"/>
      <c r="AV777" s="109"/>
      <c r="AW777" s="109"/>
      <c r="AX777" s="109"/>
      <c r="AY777" s="109"/>
      <c r="AZ777" s="109"/>
      <c r="BA777" s="109"/>
      <c r="BB777" s="109"/>
      <c r="BC777" s="109"/>
      <c r="BD777" s="109"/>
      <c r="BE777" s="109"/>
      <c r="BF777" s="109"/>
      <c r="BG777" s="109"/>
      <c r="BH777" s="109"/>
      <c r="BI777" s="109"/>
      <c r="BJ777" s="109"/>
      <c r="BK777" s="109"/>
      <c r="BL777" s="109"/>
      <c r="BM777" s="109"/>
      <c r="BN777" s="109"/>
      <c r="BO777" s="109"/>
      <c r="BP777" s="109"/>
      <c r="BQ777" s="109"/>
      <c r="BR777" s="109"/>
      <c r="BS777" s="109"/>
      <c r="BT777" s="109"/>
      <c r="BU777" s="109"/>
    </row>
    <row r="778" ht="15.75" customHeight="1">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10"/>
      <c r="X778" s="109"/>
      <c r="Y778" s="109"/>
      <c r="Z778" s="109"/>
      <c r="AA778" s="109"/>
      <c r="AB778" s="109"/>
      <c r="AC778" s="109"/>
      <c r="AD778" s="109"/>
      <c r="AE778" s="109"/>
      <c r="AF778" s="109"/>
      <c r="AG778" s="109"/>
      <c r="AH778" s="109"/>
      <c r="AI778" s="109"/>
      <c r="AJ778" s="109"/>
      <c r="AK778" s="109"/>
      <c r="AL778" s="109"/>
      <c r="AM778" s="109"/>
      <c r="AN778" s="109"/>
      <c r="AO778" s="109"/>
      <c r="AP778" s="109"/>
      <c r="AQ778" s="109"/>
      <c r="AR778" s="109"/>
      <c r="AS778" s="109"/>
      <c r="AT778" s="109"/>
      <c r="AU778" s="109"/>
      <c r="AV778" s="109"/>
      <c r="AW778" s="109"/>
      <c r="AX778" s="109"/>
      <c r="AY778" s="109"/>
      <c r="AZ778" s="109"/>
      <c r="BA778" s="109"/>
      <c r="BB778" s="109"/>
      <c r="BC778" s="109"/>
      <c r="BD778" s="109"/>
      <c r="BE778" s="109"/>
      <c r="BF778" s="109"/>
      <c r="BG778" s="109"/>
      <c r="BH778" s="109"/>
      <c r="BI778" s="109"/>
      <c r="BJ778" s="109"/>
      <c r="BK778" s="109"/>
      <c r="BL778" s="109"/>
      <c r="BM778" s="109"/>
      <c r="BN778" s="109"/>
      <c r="BO778" s="109"/>
      <c r="BP778" s="109"/>
      <c r="BQ778" s="109"/>
      <c r="BR778" s="109"/>
      <c r="BS778" s="109"/>
      <c r="BT778" s="109"/>
      <c r="BU778" s="109"/>
    </row>
    <row r="779" ht="15.75" customHeight="1">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10"/>
      <c r="X779" s="109"/>
      <c r="Y779" s="109"/>
      <c r="Z779" s="109"/>
      <c r="AA779" s="109"/>
      <c r="AB779" s="109"/>
      <c r="AC779" s="109"/>
      <c r="AD779" s="109"/>
      <c r="AE779" s="109"/>
      <c r="AF779" s="109"/>
      <c r="AG779" s="109"/>
      <c r="AH779" s="109"/>
      <c r="AI779" s="109"/>
      <c r="AJ779" s="109"/>
      <c r="AK779" s="109"/>
      <c r="AL779" s="109"/>
      <c r="AM779" s="109"/>
      <c r="AN779" s="109"/>
      <c r="AO779" s="109"/>
      <c r="AP779" s="109"/>
      <c r="AQ779" s="109"/>
      <c r="AR779" s="109"/>
      <c r="AS779" s="109"/>
      <c r="AT779" s="109"/>
      <c r="AU779" s="109"/>
      <c r="AV779" s="109"/>
      <c r="AW779" s="109"/>
      <c r="AX779" s="109"/>
      <c r="AY779" s="109"/>
      <c r="AZ779" s="109"/>
      <c r="BA779" s="109"/>
      <c r="BB779" s="109"/>
      <c r="BC779" s="109"/>
      <c r="BD779" s="109"/>
      <c r="BE779" s="109"/>
      <c r="BF779" s="109"/>
      <c r="BG779" s="109"/>
      <c r="BH779" s="109"/>
      <c r="BI779" s="109"/>
      <c r="BJ779" s="109"/>
      <c r="BK779" s="109"/>
      <c r="BL779" s="109"/>
      <c r="BM779" s="109"/>
      <c r="BN779" s="109"/>
      <c r="BO779" s="109"/>
      <c r="BP779" s="109"/>
      <c r="BQ779" s="109"/>
      <c r="BR779" s="109"/>
      <c r="BS779" s="109"/>
      <c r="BT779" s="109"/>
      <c r="BU779" s="109"/>
    </row>
    <row r="780" ht="15.75" customHeight="1">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10"/>
      <c r="X780" s="109"/>
      <c r="Y780" s="109"/>
      <c r="Z780" s="109"/>
      <c r="AA780" s="109"/>
      <c r="AB780" s="109"/>
      <c r="AC780" s="109"/>
      <c r="AD780" s="109"/>
      <c r="AE780" s="109"/>
      <c r="AF780" s="109"/>
      <c r="AG780" s="109"/>
      <c r="AH780" s="109"/>
      <c r="AI780" s="109"/>
      <c r="AJ780" s="109"/>
      <c r="AK780" s="109"/>
      <c r="AL780" s="109"/>
      <c r="AM780" s="109"/>
      <c r="AN780" s="109"/>
      <c r="AO780" s="109"/>
      <c r="AP780" s="109"/>
      <c r="AQ780" s="109"/>
      <c r="AR780" s="109"/>
      <c r="AS780" s="109"/>
      <c r="AT780" s="109"/>
      <c r="AU780" s="109"/>
      <c r="AV780" s="109"/>
      <c r="AW780" s="109"/>
      <c r="AX780" s="109"/>
      <c r="AY780" s="109"/>
      <c r="AZ780" s="109"/>
      <c r="BA780" s="109"/>
      <c r="BB780" s="109"/>
      <c r="BC780" s="109"/>
      <c r="BD780" s="109"/>
      <c r="BE780" s="109"/>
      <c r="BF780" s="109"/>
      <c r="BG780" s="109"/>
      <c r="BH780" s="109"/>
      <c r="BI780" s="109"/>
      <c r="BJ780" s="109"/>
      <c r="BK780" s="109"/>
      <c r="BL780" s="109"/>
      <c r="BM780" s="109"/>
      <c r="BN780" s="109"/>
      <c r="BO780" s="109"/>
      <c r="BP780" s="109"/>
      <c r="BQ780" s="109"/>
      <c r="BR780" s="109"/>
      <c r="BS780" s="109"/>
      <c r="BT780" s="109"/>
      <c r="BU780" s="109"/>
    </row>
    <row r="781" ht="15.75" customHeight="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10"/>
      <c r="X781" s="109"/>
      <c r="Y781" s="109"/>
      <c r="Z781" s="109"/>
      <c r="AA781" s="109"/>
      <c r="AB781" s="109"/>
      <c r="AC781" s="109"/>
      <c r="AD781" s="109"/>
      <c r="AE781" s="109"/>
      <c r="AF781" s="109"/>
      <c r="AG781" s="109"/>
      <c r="AH781" s="109"/>
      <c r="AI781" s="109"/>
      <c r="AJ781" s="109"/>
      <c r="AK781" s="109"/>
      <c r="AL781" s="109"/>
      <c r="AM781" s="109"/>
      <c r="AN781" s="109"/>
      <c r="AO781" s="109"/>
      <c r="AP781" s="109"/>
      <c r="AQ781" s="109"/>
      <c r="AR781" s="109"/>
      <c r="AS781" s="109"/>
      <c r="AT781" s="109"/>
      <c r="AU781" s="109"/>
      <c r="AV781" s="109"/>
      <c r="AW781" s="109"/>
      <c r="AX781" s="109"/>
      <c r="AY781" s="109"/>
      <c r="AZ781" s="109"/>
      <c r="BA781" s="109"/>
      <c r="BB781" s="109"/>
      <c r="BC781" s="109"/>
      <c r="BD781" s="109"/>
      <c r="BE781" s="109"/>
      <c r="BF781" s="109"/>
      <c r="BG781" s="109"/>
      <c r="BH781" s="109"/>
      <c r="BI781" s="109"/>
      <c r="BJ781" s="109"/>
      <c r="BK781" s="109"/>
      <c r="BL781" s="109"/>
      <c r="BM781" s="109"/>
      <c r="BN781" s="109"/>
      <c r="BO781" s="109"/>
      <c r="BP781" s="109"/>
      <c r="BQ781" s="109"/>
      <c r="BR781" s="109"/>
      <c r="BS781" s="109"/>
      <c r="BT781" s="109"/>
      <c r="BU781" s="109"/>
    </row>
    <row r="782" ht="15.75" customHeight="1">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10"/>
      <c r="X782" s="109"/>
      <c r="Y782" s="109"/>
      <c r="Z782" s="109"/>
      <c r="AA782" s="109"/>
      <c r="AB782" s="109"/>
      <c r="AC782" s="109"/>
      <c r="AD782" s="109"/>
      <c r="AE782" s="109"/>
      <c r="AF782" s="109"/>
      <c r="AG782" s="109"/>
      <c r="AH782" s="109"/>
      <c r="AI782" s="109"/>
      <c r="AJ782" s="109"/>
      <c r="AK782" s="109"/>
      <c r="AL782" s="109"/>
      <c r="AM782" s="109"/>
      <c r="AN782" s="109"/>
      <c r="AO782" s="109"/>
      <c r="AP782" s="109"/>
      <c r="AQ782" s="109"/>
      <c r="AR782" s="109"/>
      <c r="AS782" s="109"/>
      <c r="AT782" s="109"/>
      <c r="AU782" s="109"/>
      <c r="AV782" s="109"/>
      <c r="AW782" s="109"/>
      <c r="AX782" s="109"/>
      <c r="AY782" s="109"/>
      <c r="AZ782" s="109"/>
      <c r="BA782" s="109"/>
      <c r="BB782" s="109"/>
      <c r="BC782" s="109"/>
      <c r="BD782" s="109"/>
      <c r="BE782" s="109"/>
      <c r="BF782" s="109"/>
      <c r="BG782" s="109"/>
      <c r="BH782" s="109"/>
      <c r="BI782" s="109"/>
      <c r="BJ782" s="109"/>
      <c r="BK782" s="109"/>
      <c r="BL782" s="109"/>
      <c r="BM782" s="109"/>
      <c r="BN782" s="109"/>
      <c r="BO782" s="109"/>
      <c r="BP782" s="109"/>
      <c r="BQ782" s="109"/>
      <c r="BR782" s="109"/>
      <c r="BS782" s="109"/>
      <c r="BT782" s="109"/>
      <c r="BU782" s="109"/>
    </row>
    <row r="783" ht="15.75" customHeight="1">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10"/>
      <c r="X783" s="109"/>
      <c r="Y783" s="109"/>
      <c r="Z783" s="109"/>
      <c r="AA783" s="109"/>
      <c r="AB783" s="109"/>
      <c r="AC783" s="109"/>
      <c r="AD783" s="109"/>
      <c r="AE783" s="109"/>
      <c r="AF783" s="109"/>
      <c r="AG783" s="109"/>
      <c r="AH783" s="109"/>
      <c r="AI783" s="109"/>
      <c r="AJ783" s="109"/>
      <c r="AK783" s="109"/>
      <c r="AL783" s="109"/>
      <c r="AM783" s="109"/>
      <c r="AN783" s="109"/>
      <c r="AO783" s="109"/>
      <c r="AP783" s="109"/>
      <c r="AQ783" s="109"/>
      <c r="AR783" s="109"/>
      <c r="AS783" s="109"/>
      <c r="AT783" s="109"/>
      <c r="AU783" s="109"/>
      <c r="AV783" s="109"/>
      <c r="AW783" s="109"/>
      <c r="AX783" s="109"/>
      <c r="AY783" s="109"/>
      <c r="AZ783" s="109"/>
      <c r="BA783" s="109"/>
      <c r="BB783" s="109"/>
      <c r="BC783" s="109"/>
      <c r="BD783" s="109"/>
      <c r="BE783" s="109"/>
      <c r="BF783" s="109"/>
      <c r="BG783" s="109"/>
      <c r="BH783" s="109"/>
      <c r="BI783" s="109"/>
      <c r="BJ783" s="109"/>
      <c r="BK783" s="109"/>
      <c r="BL783" s="109"/>
      <c r="BM783" s="109"/>
      <c r="BN783" s="109"/>
      <c r="BO783" s="109"/>
      <c r="BP783" s="109"/>
      <c r="BQ783" s="109"/>
      <c r="BR783" s="109"/>
      <c r="BS783" s="109"/>
      <c r="BT783" s="109"/>
      <c r="BU783" s="109"/>
    </row>
    <row r="784" ht="15.75" customHeight="1">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10"/>
      <c r="X784" s="109"/>
      <c r="Y784" s="109"/>
      <c r="Z784" s="109"/>
      <c r="AA784" s="109"/>
      <c r="AB784" s="109"/>
      <c r="AC784" s="109"/>
      <c r="AD784" s="109"/>
      <c r="AE784" s="109"/>
      <c r="AF784" s="109"/>
      <c r="AG784" s="109"/>
      <c r="AH784" s="109"/>
      <c r="AI784" s="109"/>
      <c r="AJ784" s="109"/>
      <c r="AK784" s="109"/>
      <c r="AL784" s="109"/>
      <c r="AM784" s="109"/>
      <c r="AN784" s="109"/>
      <c r="AO784" s="109"/>
      <c r="AP784" s="109"/>
      <c r="AQ784" s="109"/>
      <c r="AR784" s="109"/>
      <c r="AS784" s="109"/>
      <c r="AT784" s="109"/>
      <c r="AU784" s="109"/>
      <c r="AV784" s="109"/>
      <c r="AW784" s="109"/>
      <c r="AX784" s="109"/>
      <c r="AY784" s="109"/>
      <c r="AZ784" s="109"/>
      <c r="BA784" s="109"/>
      <c r="BB784" s="109"/>
      <c r="BC784" s="109"/>
      <c r="BD784" s="109"/>
      <c r="BE784" s="109"/>
      <c r="BF784" s="109"/>
      <c r="BG784" s="109"/>
      <c r="BH784" s="109"/>
      <c r="BI784" s="109"/>
      <c r="BJ784" s="109"/>
      <c r="BK784" s="109"/>
      <c r="BL784" s="109"/>
      <c r="BM784" s="109"/>
      <c r="BN784" s="109"/>
      <c r="BO784" s="109"/>
      <c r="BP784" s="109"/>
      <c r="BQ784" s="109"/>
      <c r="BR784" s="109"/>
      <c r="BS784" s="109"/>
      <c r="BT784" s="109"/>
      <c r="BU784" s="109"/>
    </row>
    <row r="785" ht="15.75" customHeight="1">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10"/>
      <c r="X785" s="109"/>
      <c r="Y785" s="109"/>
      <c r="Z785" s="109"/>
      <c r="AA785" s="109"/>
      <c r="AB785" s="109"/>
      <c r="AC785" s="109"/>
      <c r="AD785" s="109"/>
      <c r="AE785" s="109"/>
      <c r="AF785" s="109"/>
      <c r="AG785" s="109"/>
      <c r="AH785" s="109"/>
      <c r="AI785" s="109"/>
      <c r="AJ785" s="109"/>
      <c r="AK785" s="109"/>
      <c r="AL785" s="109"/>
      <c r="AM785" s="109"/>
      <c r="AN785" s="109"/>
      <c r="AO785" s="109"/>
      <c r="AP785" s="109"/>
      <c r="AQ785" s="109"/>
      <c r="AR785" s="109"/>
      <c r="AS785" s="109"/>
      <c r="AT785" s="109"/>
      <c r="AU785" s="109"/>
      <c r="AV785" s="109"/>
      <c r="AW785" s="109"/>
      <c r="AX785" s="109"/>
      <c r="AY785" s="109"/>
      <c r="AZ785" s="109"/>
      <c r="BA785" s="109"/>
      <c r="BB785" s="109"/>
      <c r="BC785" s="109"/>
      <c r="BD785" s="109"/>
      <c r="BE785" s="109"/>
      <c r="BF785" s="109"/>
      <c r="BG785" s="109"/>
      <c r="BH785" s="109"/>
      <c r="BI785" s="109"/>
      <c r="BJ785" s="109"/>
      <c r="BK785" s="109"/>
      <c r="BL785" s="109"/>
      <c r="BM785" s="109"/>
      <c r="BN785" s="109"/>
      <c r="BO785" s="109"/>
      <c r="BP785" s="109"/>
      <c r="BQ785" s="109"/>
      <c r="BR785" s="109"/>
      <c r="BS785" s="109"/>
      <c r="BT785" s="109"/>
      <c r="BU785" s="109"/>
    </row>
    <row r="786" ht="15.75" customHeight="1">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10"/>
      <c r="X786" s="109"/>
      <c r="Y786" s="109"/>
      <c r="Z786" s="109"/>
      <c r="AA786" s="109"/>
      <c r="AB786" s="109"/>
      <c r="AC786" s="109"/>
      <c r="AD786" s="109"/>
      <c r="AE786" s="109"/>
      <c r="AF786" s="109"/>
      <c r="AG786" s="109"/>
      <c r="AH786" s="109"/>
      <c r="AI786" s="109"/>
      <c r="AJ786" s="109"/>
      <c r="AK786" s="109"/>
      <c r="AL786" s="109"/>
      <c r="AM786" s="109"/>
      <c r="AN786" s="109"/>
      <c r="AO786" s="109"/>
      <c r="AP786" s="109"/>
      <c r="AQ786" s="109"/>
      <c r="AR786" s="109"/>
      <c r="AS786" s="109"/>
      <c r="AT786" s="109"/>
      <c r="AU786" s="109"/>
      <c r="AV786" s="109"/>
      <c r="AW786" s="109"/>
      <c r="AX786" s="109"/>
      <c r="AY786" s="109"/>
      <c r="AZ786" s="109"/>
      <c r="BA786" s="109"/>
      <c r="BB786" s="109"/>
      <c r="BC786" s="109"/>
      <c r="BD786" s="109"/>
      <c r="BE786" s="109"/>
      <c r="BF786" s="109"/>
      <c r="BG786" s="109"/>
      <c r="BH786" s="109"/>
      <c r="BI786" s="109"/>
      <c r="BJ786" s="109"/>
      <c r="BK786" s="109"/>
      <c r="BL786" s="109"/>
      <c r="BM786" s="109"/>
      <c r="BN786" s="109"/>
      <c r="BO786" s="109"/>
      <c r="BP786" s="109"/>
      <c r="BQ786" s="109"/>
      <c r="BR786" s="109"/>
      <c r="BS786" s="109"/>
      <c r="BT786" s="109"/>
      <c r="BU786" s="109"/>
    </row>
    <row r="787" ht="15.75" customHeight="1">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10"/>
      <c r="X787" s="109"/>
      <c r="Y787" s="109"/>
      <c r="Z787" s="109"/>
      <c r="AA787" s="109"/>
      <c r="AB787" s="109"/>
      <c r="AC787" s="109"/>
      <c r="AD787" s="109"/>
      <c r="AE787" s="109"/>
      <c r="AF787" s="109"/>
      <c r="AG787" s="109"/>
      <c r="AH787" s="109"/>
      <c r="AI787" s="109"/>
      <c r="AJ787" s="109"/>
      <c r="AK787" s="109"/>
      <c r="AL787" s="109"/>
      <c r="AM787" s="109"/>
      <c r="AN787" s="109"/>
      <c r="AO787" s="109"/>
      <c r="AP787" s="109"/>
      <c r="AQ787" s="109"/>
      <c r="AR787" s="109"/>
      <c r="AS787" s="109"/>
      <c r="AT787" s="109"/>
      <c r="AU787" s="109"/>
      <c r="AV787" s="109"/>
      <c r="AW787" s="109"/>
      <c r="AX787" s="109"/>
      <c r="AY787" s="109"/>
      <c r="AZ787" s="109"/>
      <c r="BA787" s="109"/>
      <c r="BB787" s="109"/>
      <c r="BC787" s="109"/>
      <c r="BD787" s="109"/>
      <c r="BE787" s="109"/>
      <c r="BF787" s="109"/>
      <c r="BG787" s="109"/>
      <c r="BH787" s="109"/>
      <c r="BI787" s="109"/>
      <c r="BJ787" s="109"/>
      <c r="BK787" s="109"/>
      <c r="BL787" s="109"/>
      <c r="BM787" s="109"/>
      <c r="BN787" s="109"/>
      <c r="BO787" s="109"/>
      <c r="BP787" s="109"/>
      <c r="BQ787" s="109"/>
      <c r="BR787" s="109"/>
      <c r="BS787" s="109"/>
      <c r="BT787" s="109"/>
      <c r="BU787" s="109"/>
    </row>
    <row r="788" ht="15.75" customHeight="1">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10"/>
      <c r="X788" s="109"/>
      <c r="Y788" s="109"/>
      <c r="Z788" s="109"/>
      <c r="AA788" s="109"/>
      <c r="AB788" s="109"/>
      <c r="AC788" s="109"/>
      <c r="AD788" s="109"/>
      <c r="AE788" s="109"/>
      <c r="AF788" s="109"/>
      <c r="AG788" s="109"/>
      <c r="AH788" s="109"/>
      <c r="AI788" s="109"/>
      <c r="AJ788" s="109"/>
      <c r="AK788" s="109"/>
      <c r="AL788" s="109"/>
      <c r="AM788" s="109"/>
      <c r="AN788" s="109"/>
      <c r="AO788" s="109"/>
      <c r="AP788" s="109"/>
      <c r="AQ788" s="109"/>
      <c r="AR788" s="109"/>
      <c r="AS788" s="109"/>
      <c r="AT788" s="109"/>
      <c r="AU788" s="109"/>
      <c r="AV788" s="109"/>
      <c r="AW788" s="109"/>
      <c r="AX788" s="109"/>
      <c r="AY788" s="109"/>
      <c r="AZ788" s="109"/>
      <c r="BA788" s="109"/>
      <c r="BB788" s="109"/>
      <c r="BC788" s="109"/>
      <c r="BD788" s="109"/>
      <c r="BE788" s="109"/>
      <c r="BF788" s="109"/>
      <c r="BG788" s="109"/>
      <c r="BH788" s="109"/>
      <c r="BI788" s="109"/>
      <c r="BJ788" s="109"/>
      <c r="BK788" s="109"/>
      <c r="BL788" s="109"/>
      <c r="BM788" s="109"/>
      <c r="BN788" s="109"/>
      <c r="BO788" s="109"/>
      <c r="BP788" s="109"/>
      <c r="BQ788" s="109"/>
      <c r="BR788" s="109"/>
      <c r="BS788" s="109"/>
      <c r="BT788" s="109"/>
      <c r="BU788" s="109"/>
    </row>
    <row r="789" ht="15.75" customHeight="1">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10"/>
      <c r="X789" s="109"/>
      <c r="Y789" s="109"/>
      <c r="Z789" s="109"/>
      <c r="AA789" s="109"/>
      <c r="AB789" s="109"/>
      <c r="AC789" s="109"/>
      <c r="AD789" s="109"/>
      <c r="AE789" s="109"/>
      <c r="AF789" s="109"/>
      <c r="AG789" s="109"/>
      <c r="AH789" s="109"/>
      <c r="AI789" s="109"/>
      <c r="AJ789" s="109"/>
      <c r="AK789" s="109"/>
      <c r="AL789" s="109"/>
      <c r="AM789" s="109"/>
      <c r="AN789" s="109"/>
      <c r="AO789" s="109"/>
      <c r="AP789" s="109"/>
      <c r="AQ789" s="109"/>
      <c r="AR789" s="109"/>
      <c r="AS789" s="109"/>
      <c r="AT789" s="109"/>
      <c r="AU789" s="109"/>
      <c r="AV789" s="109"/>
      <c r="AW789" s="109"/>
      <c r="AX789" s="109"/>
      <c r="AY789" s="109"/>
      <c r="AZ789" s="109"/>
      <c r="BA789" s="109"/>
      <c r="BB789" s="109"/>
      <c r="BC789" s="109"/>
      <c r="BD789" s="109"/>
      <c r="BE789" s="109"/>
      <c r="BF789" s="109"/>
      <c r="BG789" s="109"/>
      <c r="BH789" s="109"/>
      <c r="BI789" s="109"/>
      <c r="BJ789" s="109"/>
      <c r="BK789" s="109"/>
      <c r="BL789" s="109"/>
      <c r="BM789" s="109"/>
      <c r="BN789" s="109"/>
      <c r="BO789" s="109"/>
      <c r="BP789" s="109"/>
      <c r="BQ789" s="109"/>
      <c r="BR789" s="109"/>
      <c r="BS789" s="109"/>
      <c r="BT789" s="109"/>
      <c r="BU789" s="109"/>
    </row>
    <row r="790" ht="15.75" customHeight="1">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10"/>
      <c r="X790" s="109"/>
      <c r="Y790" s="109"/>
      <c r="Z790" s="109"/>
      <c r="AA790" s="109"/>
      <c r="AB790" s="109"/>
      <c r="AC790" s="109"/>
      <c r="AD790" s="109"/>
      <c r="AE790" s="109"/>
      <c r="AF790" s="109"/>
      <c r="AG790" s="109"/>
      <c r="AH790" s="109"/>
      <c r="AI790" s="109"/>
      <c r="AJ790" s="109"/>
      <c r="AK790" s="109"/>
      <c r="AL790" s="109"/>
      <c r="AM790" s="109"/>
      <c r="AN790" s="109"/>
      <c r="AO790" s="109"/>
      <c r="AP790" s="109"/>
      <c r="AQ790" s="109"/>
      <c r="AR790" s="109"/>
      <c r="AS790" s="109"/>
      <c r="AT790" s="109"/>
      <c r="AU790" s="109"/>
      <c r="AV790" s="109"/>
      <c r="AW790" s="109"/>
      <c r="AX790" s="109"/>
      <c r="AY790" s="109"/>
      <c r="AZ790" s="109"/>
      <c r="BA790" s="109"/>
      <c r="BB790" s="109"/>
      <c r="BC790" s="109"/>
      <c r="BD790" s="109"/>
      <c r="BE790" s="109"/>
      <c r="BF790" s="109"/>
      <c r="BG790" s="109"/>
      <c r="BH790" s="109"/>
      <c r="BI790" s="109"/>
      <c r="BJ790" s="109"/>
      <c r="BK790" s="109"/>
      <c r="BL790" s="109"/>
      <c r="BM790" s="109"/>
      <c r="BN790" s="109"/>
      <c r="BO790" s="109"/>
      <c r="BP790" s="109"/>
      <c r="BQ790" s="109"/>
      <c r="BR790" s="109"/>
      <c r="BS790" s="109"/>
      <c r="BT790" s="109"/>
      <c r="BU790" s="109"/>
    </row>
    <row r="791" ht="15.75" customHeight="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10"/>
      <c r="X791" s="109"/>
      <c r="Y791" s="109"/>
      <c r="Z791" s="109"/>
      <c r="AA791" s="109"/>
      <c r="AB791" s="109"/>
      <c r="AC791" s="109"/>
      <c r="AD791" s="109"/>
      <c r="AE791" s="109"/>
      <c r="AF791" s="109"/>
      <c r="AG791" s="109"/>
      <c r="AH791" s="109"/>
      <c r="AI791" s="109"/>
      <c r="AJ791" s="109"/>
      <c r="AK791" s="109"/>
      <c r="AL791" s="109"/>
      <c r="AM791" s="109"/>
      <c r="AN791" s="109"/>
      <c r="AO791" s="109"/>
      <c r="AP791" s="109"/>
      <c r="AQ791" s="109"/>
      <c r="AR791" s="109"/>
      <c r="AS791" s="109"/>
      <c r="AT791" s="109"/>
      <c r="AU791" s="109"/>
      <c r="AV791" s="109"/>
      <c r="AW791" s="109"/>
      <c r="AX791" s="109"/>
      <c r="AY791" s="109"/>
      <c r="AZ791" s="109"/>
      <c r="BA791" s="109"/>
      <c r="BB791" s="109"/>
      <c r="BC791" s="109"/>
      <c r="BD791" s="109"/>
      <c r="BE791" s="109"/>
      <c r="BF791" s="109"/>
      <c r="BG791" s="109"/>
      <c r="BH791" s="109"/>
      <c r="BI791" s="109"/>
      <c r="BJ791" s="109"/>
      <c r="BK791" s="109"/>
      <c r="BL791" s="109"/>
      <c r="BM791" s="109"/>
      <c r="BN791" s="109"/>
      <c r="BO791" s="109"/>
      <c r="BP791" s="109"/>
      <c r="BQ791" s="109"/>
      <c r="BR791" s="109"/>
      <c r="BS791" s="109"/>
      <c r="BT791" s="109"/>
      <c r="BU791" s="109"/>
    </row>
    <row r="792" ht="15.75" customHeight="1">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10"/>
      <c r="X792" s="109"/>
      <c r="Y792" s="109"/>
      <c r="Z792" s="109"/>
      <c r="AA792" s="109"/>
      <c r="AB792" s="109"/>
      <c r="AC792" s="109"/>
      <c r="AD792" s="109"/>
      <c r="AE792" s="109"/>
      <c r="AF792" s="109"/>
      <c r="AG792" s="109"/>
      <c r="AH792" s="109"/>
      <c r="AI792" s="109"/>
      <c r="AJ792" s="109"/>
      <c r="AK792" s="109"/>
      <c r="AL792" s="109"/>
      <c r="AM792" s="109"/>
      <c r="AN792" s="109"/>
      <c r="AO792" s="109"/>
      <c r="AP792" s="109"/>
      <c r="AQ792" s="109"/>
      <c r="AR792" s="109"/>
      <c r="AS792" s="109"/>
      <c r="AT792" s="109"/>
      <c r="AU792" s="109"/>
      <c r="AV792" s="109"/>
      <c r="AW792" s="109"/>
      <c r="AX792" s="109"/>
      <c r="AY792" s="109"/>
      <c r="AZ792" s="109"/>
      <c r="BA792" s="109"/>
      <c r="BB792" s="109"/>
      <c r="BC792" s="109"/>
      <c r="BD792" s="109"/>
      <c r="BE792" s="109"/>
      <c r="BF792" s="109"/>
      <c r="BG792" s="109"/>
      <c r="BH792" s="109"/>
      <c r="BI792" s="109"/>
      <c r="BJ792" s="109"/>
      <c r="BK792" s="109"/>
      <c r="BL792" s="109"/>
      <c r="BM792" s="109"/>
      <c r="BN792" s="109"/>
      <c r="BO792" s="109"/>
      <c r="BP792" s="109"/>
      <c r="BQ792" s="109"/>
      <c r="BR792" s="109"/>
      <c r="BS792" s="109"/>
      <c r="BT792" s="109"/>
      <c r="BU792" s="109"/>
    </row>
    <row r="793" ht="15.75" customHeight="1">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10"/>
      <c r="X793" s="109"/>
      <c r="Y793" s="109"/>
      <c r="Z793" s="109"/>
      <c r="AA793" s="109"/>
      <c r="AB793" s="109"/>
      <c r="AC793" s="109"/>
      <c r="AD793" s="109"/>
      <c r="AE793" s="109"/>
      <c r="AF793" s="109"/>
      <c r="AG793" s="109"/>
      <c r="AH793" s="109"/>
      <c r="AI793" s="109"/>
      <c r="AJ793" s="109"/>
      <c r="AK793" s="109"/>
      <c r="AL793" s="109"/>
      <c r="AM793" s="109"/>
      <c r="AN793" s="109"/>
      <c r="AO793" s="109"/>
      <c r="AP793" s="109"/>
      <c r="AQ793" s="109"/>
      <c r="AR793" s="109"/>
      <c r="AS793" s="109"/>
      <c r="AT793" s="109"/>
      <c r="AU793" s="109"/>
      <c r="AV793" s="109"/>
      <c r="AW793" s="109"/>
      <c r="AX793" s="109"/>
      <c r="AY793" s="109"/>
      <c r="AZ793" s="109"/>
      <c r="BA793" s="109"/>
      <c r="BB793" s="109"/>
      <c r="BC793" s="109"/>
      <c r="BD793" s="109"/>
      <c r="BE793" s="109"/>
      <c r="BF793" s="109"/>
      <c r="BG793" s="109"/>
      <c r="BH793" s="109"/>
      <c r="BI793" s="109"/>
      <c r="BJ793" s="109"/>
      <c r="BK793" s="109"/>
      <c r="BL793" s="109"/>
      <c r="BM793" s="109"/>
      <c r="BN793" s="109"/>
      <c r="BO793" s="109"/>
      <c r="BP793" s="109"/>
      <c r="BQ793" s="109"/>
      <c r="BR793" s="109"/>
      <c r="BS793" s="109"/>
      <c r="BT793" s="109"/>
      <c r="BU793" s="109"/>
    </row>
    <row r="794" ht="15.75" customHeight="1">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10"/>
      <c r="X794" s="109"/>
      <c r="Y794" s="109"/>
      <c r="Z794" s="109"/>
      <c r="AA794" s="109"/>
      <c r="AB794" s="109"/>
      <c r="AC794" s="109"/>
      <c r="AD794" s="109"/>
      <c r="AE794" s="109"/>
      <c r="AF794" s="109"/>
      <c r="AG794" s="109"/>
      <c r="AH794" s="109"/>
      <c r="AI794" s="109"/>
      <c r="AJ794" s="109"/>
      <c r="AK794" s="109"/>
      <c r="AL794" s="109"/>
      <c r="AM794" s="109"/>
      <c r="AN794" s="109"/>
      <c r="AO794" s="109"/>
      <c r="AP794" s="109"/>
      <c r="AQ794" s="109"/>
      <c r="AR794" s="109"/>
      <c r="AS794" s="109"/>
      <c r="AT794" s="109"/>
      <c r="AU794" s="109"/>
      <c r="AV794" s="109"/>
      <c r="AW794" s="109"/>
      <c r="AX794" s="109"/>
      <c r="AY794" s="109"/>
      <c r="AZ794" s="109"/>
      <c r="BA794" s="109"/>
      <c r="BB794" s="109"/>
      <c r="BC794" s="109"/>
      <c r="BD794" s="109"/>
      <c r="BE794" s="109"/>
      <c r="BF794" s="109"/>
      <c r="BG794" s="109"/>
      <c r="BH794" s="109"/>
      <c r="BI794" s="109"/>
      <c r="BJ794" s="109"/>
      <c r="BK794" s="109"/>
      <c r="BL794" s="109"/>
      <c r="BM794" s="109"/>
      <c r="BN794" s="109"/>
      <c r="BO794" s="109"/>
      <c r="BP794" s="109"/>
      <c r="BQ794" s="109"/>
      <c r="BR794" s="109"/>
      <c r="BS794" s="109"/>
      <c r="BT794" s="109"/>
      <c r="BU794" s="109"/>
    </row>
    <row r="795" ht="15.75" customHeight="1">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10"/>
      <c r="X795" s="109"/>
      <c r="Y795" s="109"/>
      <c r="Z795" s="109"/>
      <c r="AA795" s="109"/>
      <c r="AB795" s="109"/>
      <c r="AC795" s="109"/>
      <c r="AD795" s="109"/>
      <c r="AE795" s="109"/>
      <c r="AF795" s="109"/>
      <c r="AG795" s="109"/>
      <c r="AH795" s="109"/>
      <c r="AI795" s="109"/>
      <c r="AJ795" s="109"/>
      <c r="AK795" s="109"/>
      <c r="AL795" s="109"/>
      <c r="AM795" s="109"/>
      <c r="AN795" s="109"/>
      <c r="AO795" s="109"/>
      <c r="AP795" s="109"/>
      <c r="AQ795" s="109"/>
      <c r="AR795" s="109"/>
      <c r="AS795" s="109"/>
      <c r="AT795" s="109"/>
      <c r="AU795" s="109"/>
      <c r="AV795" s="109"/>
      <c r="AW795" s="109"/>
      <c r="AX795" s="109"/>
      <c r="AY795" s="109"/>
      <c r="AZ795" s="109"/>
      <c r="BA795" s="109"/>
      <c r="BB795" s="109"/>
      <c r="BC795" s="109"/>
      <c r="BD795" s="109"/>
      <c r="BE795" s="109"/>
      <c r="BF795" s="109"/>
      <c r="BG795" s="109"/>
      <c r="BH795" s="109"/>
      <c r="BI795" s="109"/>
      <c r="BJ795" s="109"/>
      <c r="BK795" s="109"/>
      <c r="BL795" s="109"/>
      <c r="BM795" s="109"/>
      <c r="BN795" s="109"/>
      <c r="BO795" s="109"/>
      <c r="BP795" s="109"/>
      <c r="BQ795" s="109"/>
      <c r="BR795" s="109"/>
      <c r="BS795" s="109"/>
      <c r="BT795" s="109"/>
      <c r="BU795" s="109"/>
    </row>
    <row r="796" ht="15.75" customHeight="1">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10"/>
      <c r="X796" s="109"/>
      <c r="Y796" s="109"/>
      <c r="Z796" s="109"/>
      <c r="AA796" s="109"/>
      <c r="AB796" s="109"/>
      <c r="AC796" s="109"/>
      <c r="AD796" s="109"/>
      <c r="AE796" s="109"/>
      <c r="AF796" s="109"/>
      <c r="AG796" s="109"/>
      <c r="AH796" s="109"/>
      <c r="AI796" s="109"/>
      <c r="AJ796" s="109"/>
      <c r="AK796" s="109"/>
      <c r="AL796" s="109"/>
      <c r="AM796" s="109"/>
      <c r="AN796" s="109"/>
      <c r="AO796" s="109"/>
      <c r="AP796" s="109"/>
      <c r="AQ796" s="109"/>
      <c r="AR796" s="109"/>
      <c r="AS796" s="109"/>
      <c r="AT796" s="109"/>
      <c r="AU796" s="109"/>
      <c r="AV796" s="109"/>
      <c r="AW796" s="109"/>
      <c r="AX796" s="109"/>
      <c r="AY796" s="109"/>
      <c r="AZ796" s="109"/>
      <c r="BA796" s="109"/>
      <c r="BB796" s="109"/>
      <c r="BC796" s="109"/>
      <c r="BD796" s="109"/>
      <c r="BE796" s="109"/>
      <c r="BF796" s="109"/>
      <c r="BG796" s="109"/>
      <c r="BH796" s="109"/>
      <c r="BI796" s="109"/>
      <c r="BJ796" s="109"/>
      <c r="BK796" s="109"/>
      <c r="BL796" s="109"/>
      <c r="BM796" s="109"/>
      <c r="BN796" s="109"/>
      <c r="BO796" s="109"/>
      <c r="BP796" s="109"/>
      <c r="BQ796" s="109"/>
      <c r="BR796" s="109"/>
      <c r="BS796" s="109"/>
      <c r="BT796" s="109"/>
      <c r="BU796" s="109"/>
    </row>
    <row r="797" ht="15.75" customHeight="1">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10"/>
      <c r="X797" s="109"/>
      <c r="Y797" s="109"/>
      <c r="Z797" s="109"/>
      <c r="AA797" s="109"/>
      <c r="AB797" s="109"/>
      <c r="AC797" s="109"/>
      <c r="AD797" s="109"/>
      <c r="AE797" s="109"/>
      <c r="AF797" s="109"/>
      <c r="AG797" s="109"/>
      <c r="AH797" s="109"/>
      <c r="AI797" s="109"/>
      <c r="AJ797" s="109"/>
      <c r="AK797" s="109"/>
      <c r="AL797" s="109"/>
      <c r="AM797" s="109"/>
      <c r="AN797" s="109"/>
      <c r="AO797" s="109"/>
      <c r="AP797" s="109"/>
      <c r="AQ797" s="109"/>
      <c r="AR797" s="109"/>
      <c r="AS797" s="109"/>
      <c r="AT797" s="109"/>
      <c r="AU797" s="109"/>
      <c r="AV797" s="109"/>
      <c r="AW797" s="109"/>
      <c r="AX797" s="109"/>
      <c r="AY797" s="109"/>
      <c r="AZ797" s="109"/>
      <c r="BA797" s="109"/>
      <c r="BB797" s="109"/>
      <c r="BC797" s="109"/>
      <c r="BD797" s="109"/>
      <c r="BE797" s="109"/>
      <c r="BF797" s="109"/>
      <c r="BG797" s="109"/>
      <c r="BH797" s="109"/>
      <c r="BI797" s="109"/>
      <c r="BJ797" s="109"/>
      <c r="BK797" s="109"/>
      <c r="BL797" s="109"/>
      <c r="BM797" s="109"/>
      <c r="BN797" s="109"/>
      <c r="BO797" s="109"/>
      <c r="BP797" s="109"/>
      <c r="BQ797" s="109"/>
      <c r="BR797" s="109"/>
      <c r="BS797" s="109"/>
      <c r="BT797" s="109"/>
      <c r="BU797" s="109"/>
    </row>
    <row r="798" ht="15.75" customHeight="1">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10"/>
      <c r="X798" s="109"/>
      <c r="Y798" s="109"/>
      <c r="Z798" s="109"/>
      <c r="AA798" s="109"/>
      <c r="AB798" s="109"/>
      <c r="AC798" s="109"/>
      <c r="AD798" s="109"/>
      <c r="AE798" s="109"/>
      <c r="AF798" s="109"/>
      <c r="AG798" s="109"/>
      <c r="AH798" s="109"/>
      <c r="AI798" s="109"/>
      <c r="AJ798" s="109"/>
      <c r="AK798" s="109"/>
      <c r="AL798" s="109"/>
      <c r="AM798" s="109"/>
      <c r="AN798" s="109"/>
      <c r="AO798" s="109"/>
      <c r="AP798" s="109"/>
      <c r="AQ798" s="109"/>
      <c r="AR798" s="109"/>
      <c r="AS798" s="109"/>
      <c r="AT798" s="109"/>
      <c r="AU798" s="109"/>
      <c r="AV798" s="109"/>
      <c r="AW798" s="109"/>
      <c r="AX798" s="109"/>
      <c r="AY798" s="109"/>
      <c r="AZ798" s="109"/>
      <c r="BA798" s="109"/>
      <c r="BB798" s="109"/>
      <c r="BC798" s="109"/>
      <c r="BD798" s="109"/>
      <c r="BE798" s="109"/>
      <c r="BF798" s="109"/>
      <c r="BG798" s="109"/>
      <c r="BH798" s="109"/>
      <c r="BI798" s="109"/>
      <c r="BJ798" s="109"/>
      <c r="BK798" s="109"/>
      <c r="BL798" s="109"/>
      <c r="BM798" s="109"/>
      <c r="BN798" s="109"/>
      <c r="BO798" s="109"/>
      <c r="BP798" s="109"/>
      <c r="BQ798" s="109"/>
      <c r="BR798" s="109"/>
      <c r="BS798" s="109"/>
      <c r="BT798" s="109"/>
      <c r="BU798" s="109"/>
    </row>
    <row r="799" ht="15.75" customHeight="1">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10"/>
      <c r="X799" s="109"/>
      <c r="Y799" s="109"/>
      <c r="Z799" s="109"/>
      <c r="AA799" s="109"/>
      <c r="AB799" s="109"/>
      <c r="AC799" s="109"/>
      <c r="AD799" s="109"/>
      <c r="AE799" s="109"/>
      <c r="AF799" s="109"/>
      <c r="AG799" s="109"/>
      <c r="AH799" s="109"/>
      <c r="AI799" s="109"/>
      <c r="AJ799" s="109"/>
      <c r="AK799" s="109"/>
      <c r="AL799" s="109"/>
      <c r="AM799" s="109"/>
      <c r="AN799" s="109"/>
      <c r="AO799" s="109"/>
      <c r="AP799" s="109"/>
      <c r="AQ799" s="109"/>
      <c r="AR799" s="109"/>
      <c r="AS799" s="109"/>
      <c r="AT799" s="109"/>
      <c r="AU799" s="109"/>
      <c r="AV799" s="109"/>
      <c r="AW799" s="109"/>
      <c r="AX799" s="109"/>
      <c r="AY799" s="109"/>
      <c r="AZ799" s="109"/>
      <c r="BA799" s="109"/>
      <c r="BB799" s="109"/>
      <c r="BC799" s="109"/>
      <c r="BD799" s="109"/>
      <c r="BE799" s="109"/>
      <c r="BF799" s="109"/>
      <c r="BG799" s="109"/>
      <c r="BH799" s="109"/>
      <c r="BI799" s="109"/>
      <c r="BJ799" s="109"/>
      <c r="BK799" s="109"/>
      <c r="BL799" s="109"/>
      <c r="BM799" s="109"/>
      <c r="BN799" s="109"/>
      <c r="BO799" s="109"/>
      <c r="BP799" s="109"/>
      <c r="BQ799" s="109"/>
      <c r="BR799" s="109"/>
      <c r="BS799" s="109"/>
      <c r="BT799" s="109"/>
      <c r="BU799" s="109"/>
    </row>
    <row r="800" ht="15.75" customHeight="1">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10"/>
      <c r="X800" s="109"/>
      <c r="Y800" s="109"/>
      <c r="Z800" s="109"/>
      <c r="AA800" s="109"/>
      <c r="AB800" s="109"/>
      <c r="AC800" s="109"/>
      <c r="AD800" s="109"/>
      <c r="AE800" s="109"/>
      <c r="AF800" s="109"/>
      <c r="AG800" s="109"/>
      <c r="AH800" s="109"/>
      <c r="AI800" s="109"/>
      <c r="AJ800" s="109"/>
      <c r="AK800" s="109"/>
      <c r="AL800" s="109"/>
      <c r="AM800" s="109"/>
      <c r="AN800" s="109"/>
      <c r="AO800" s="109"/>
      <c r="AP800" s="109"/>
      <c r="AQ800" s="109"/>
      <c r="AR800" s="109"/>
      <c r="AS800" s="109"/>
      <c r="AT800" s="109"/>
      <c r="AU800" s="109"/>
      <c r="AV800" s="109"/>
      <c r="AW800" s="109"/>
      <c r="AX800" s="109"/>
      <c r="AY800" s="109"/>
      <c r="AZ800" s="109"/>
      <c r="BA800" s="109"/>
      <c r="BB800" s="109"/>
      <c r="BC800" s="109"/>
      <c r="BD800" s="109"/>
      <c r="BE800" s="109"/>
      <c r="BF800" s="109"/>
      <c r="BG800" s="109"/>
      <c r="BH800" s="109"/>
      <c r="BI800" s="109"/>
      <c r="BJ800" s="109"/>
      <c r="BK800" s="109"/>
      <c r="BL800" s="109"/>
      <c r="BM800" s="109"/>
      <c r="BN800" s="109"/>
      <c r="BO800" s="109"/>
      <c r="BP800" s="109"/>
      <c r="BQ800" s="109"/>
      <c r="BR800" s="109"/>
      <c r="BS800" s="109"/>
      <c r="BT800" s="109"/>
      <c r="BU800" s="109"/>
    </row>
    <row r="801" ht="15.75" customHeight="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10"/>
      <c r="X801" s="109"/>
      <c r="Y801" s="109"/>
      <c r="Z801" s="109"/>
      <c r="AA801" s="109"/>
      <c r="AB801" s="109"/>
      <c r="AC801" s="109"/>
      <c r="AD801" s="109"/>
      <c r="AE801" s="109"/>
      <c r="AF801" s="109"/>
      <c r="AG801" s="109"/>
      <c r="AH801" s="109"/>
      <c r="AI801" s="109"/>
      <c r="AJ801" s="109"/>
      <c r="AK801" s="109"/>
      <c r="AL801" s="109"/>
      <c r="AM801" s="109"/>
      <c r="AN801" s="109"/>
      <c r="AO801" s="109"/>
      <c r="AP801" s="109"/>
      <c r="AQ801" s="109"/>
      <c r="AR801" s="109"/>
      <c r="AS801" s="109"/>
      <c r="AT801" s="109"/>
      <c r="AU801" s="109"/>
      <c r="AV801" s="109"/>
      <c r="AW801" s="109"/>
      <c r="AX801" s="109"/>
      <c r="AY801" s="109"/>
      <c r="AZ801" s="109"/>
      <c r="BA801" s="109"/>
      <c r="BB801" s="109"/>
      <c r="BC801" s="109"/>
      <c r="BD801" s="109"/>
      <c r="BE801" s="109"/>
      <c r="BF801" s="109"/>
      <c r="BG801" s="109"/>
      <c r="BH801" s="109"/>
      <c r="BI801" s="109"/>
      <c r="BJ801" s="109"/>
      <c r="BK801" s="109"/>
      <c r="BL801" s="109"/>
      <c r="BM801" s="109"/>
      <c r="BN801" s="109"/>
      <c r="BO801" s="109"/>
      <c r="BP801" s="109"/>
      <c r="BQ801" s="109"/>
      <c r="BR801" s="109"/>
      <c r="BS801" s="109"/>
      <c r="BT801" s="109"/>
      <c r="BU801" s="109"/>
    </row>
    <row r="802" ht="15.75" customHeight="1">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10"/>
      <c r="X802" s="109"/>
      <c r="Y802" s="109"/>
      <c r="Z802" s="109"/>
      <c r="AA802" s="109"/>
      <c r="AB802" s="109"/>
      <c r="AC802" s="109"/>
      <c r="AD802" s="109"/>
      <c r="AE802" s="109"/>
      <c r="AF802" s="109"/>
      <c r="AG802" s="109"/>
      <c r="AH802" s="109"/>
      <c r="AI802" s="109"/>
      <c r="AJ802" s="109"/>
      <c r="AK802" s="109"/>
      <c r="AL802" s="109"/>
      <c r="AM802" s="109"/>
      <c r="AN802" s="109"/>
      <c r="AO802" s="109"/>
      <c r="AP802" s="109"/>
      <c r="AQ802" s="109"/>
      <c r="AR802" s="109"/>
      <c r="AS802" s="109"/>
      <c r="AT802" s="109"/>
      <c r="AU802" s="109"/>
      <c r="AV802" s="109"/>
      <c r="AW802" s="109"/>
      <c r="AX802" s="109"/>
      <c r="AY802" s="109"/>
      <c r="AZ802" s="109"/>
      <c r="BA802" s="109"/>
      <c r="BB802" s="109"/>
      <c r="BC802" s="109"/>
      <c r="BD802" s="109"/>
      <c r="BE802" s="109"/>
      <c r="BF802" s="109"/>
      <c r="BG802" s="109"/>
      <c r="BH802" s="109"/>
      <c r="BI802" s="109"/>
      <c r="BJ802" s="109"/>
      <c r="BK802" s="109"/>
      <c r="BL802" s="109"/>
      <c r="BM802" s="109"/>
      <c r="BN802" s="109"/>
      <c r="BO802" s="109"/>
      <c r="BP802" s="109"/>
      <c r="BQ802" s="109"/>
      <c r="BR802" s="109"/>
      <c r="BS802" s="109"/>
      <c r="BT802" s="109"/>
      <c r="BU802" s="109"/>
    </row>
    <row r="803" ht="15.75" customHeight="1">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10"/>
      <c r="X803" s="109"/>
      <c r="Y803" s="109"/>
      <c r="Z803" s="109"/>
      <c r="AA803" s="109"/>
      <c r="AB803" s="109"/>
      <c r="AC803" s="109"/>
      <c r="AD803" s="109"/>
      <c r="AE803" s="109"/>
      <c r="AF803" s="109"/>
      <c r="AG803" s="109"/>
      <c r="AH803" s="109"/>
      <c r="AI803" s="109"/>
      <c r="AJ803" s="109"/>
      <c r="AK803" s="109"/>
      <c r="AL803" s="109"/>
      <c r="AM803" s="109"/>
      <c r="AN803" s="109"/>
      <c r="AO803" s="109"/>
      <c r="AP803" s="109"/>
      <c r="AQ803" s="109"/>
      <c r="AR803" s="109"/>
      <c r="AS803" s="109"/>
      <c r="AT803" s="109"/>
      <c r="AU803" s="109"/>
      <c r="AV803" s="109"/>
      <c r="AW803" s="109"/>
      <c r="AX803" s="109"/>
      <c r="AY803" s="109"/>
      <c r="AZ803" s="109"/>
      <c r="BA803" s="109"/>
      <c r="BB803" s="109"/>
      <c r="BC803" s="109"/>
      <c r="BD803" s="109"/>
      <c r="BE803" s="109"/>
      <c r="BF803" s="109"/>
      <c r="BG803" s="109"/>
      <c r="BH803" s="109"/>
      <c r="BI803" s="109"/>
      <c r="BJ803" s="109"/>
      <c r="BK803" s="109"/>
      <c r="BL803" s="109"/>
      <c r="BM803" s="109"/>
      <c r="BN803" s="109"/>
      <c r="BO803" s="109"/>
      <c r="BP803" s="109"/>
      <c r="BQ803" s="109"/>
      <c r="BR803" s="109"/>
      <c r="BS803" s="109"/>
      <c r="BT803" s="109"/>
      <c r="BU803" s="109"/>
    </row>
    <row r="804" ht="15.75" customHeight="1">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10"/>
      <c r="X804" s="109"/>
      <c r="Y804" s="109"/>
      <c r="Z804" s="109"/>
      <c r="AA804" s="109"/>
      <c r="AB804" s="109"/>
      <c r="AC804" s="109"/>
      <c r="AD804" s="109"/>
      <c r="AE804" s="109"/>
      <c r="AF804" s="109"/>
      <c r="AG804" s="109"/>
      <c r="AH804" s="109"/>
      <c r="AI804" s="109"/>
      <c r="AJ804" s="109"/>
      <c r="AK804" s="109"/>
      <c r="AL804" s="109"/>
      <c r="AM804" s="109"/>
      <c r="AN804" s="109"/>
      <c r="AO804" s="109"/>
      <c r="AP804" s="109"/>
      <c r="AQ804" s="109"/>
      <c r="AR804" s="109"/>
      <c r="AS804" s="109"/>
      <c r="AT804" s="109"/>
      <c r="AU804" s="109"/>
      <c r="AV804" s="109"/>
      <c r="AW804" s="109"/>
      <c r="AX804" s="109"/>
      <c r="AY804" s="109"/>
      <c r="AZ804" s="109"/>
      <c r="BA804" s="109"/>
      <c r="BB804" s="109"/>
      <c r="BC804" s="109"/>
      <c r="BD804" s="109"/>
      <c r="BE804" s="109"/>
      <c r="BF804" s="109"/>
      <c r="BG804" s="109"/>
      <c r="BH804" s="109"/>
      <c r="BI804" s="109"/>
      <c r="BJ804" s="109"/>
      <c r="BK804" s="109"/>
      <c r="BL804" s="109"/>
      <c r="BM804" s="109"/>
      <c r="BN804" s="109"/>
      <c r="BO804" s="109"/>
      <c r="BP804" s="109"/>
      <c r="BQ804" s="109"/>
      <c r="BR804" s="109"/>
      <c r="BS804" s="109"/>
      <c r="BT804" s="109"/>
      <c r="BU804" s="109"/>
    </row>
    <row r="805" ht="15.75" customHeight="1">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10"/>
      <c r="X805" s="109"/>
      <c r="Y805" s="109"/>
      <c r="Z805" s="109"/>
      <c r="AA805" s="109"/>
      <c r="AB805" s="109"/>
      <c r="AC805" s="109"/>
      <c r="AD805" s="109"/>
      <c r="AE805" s="109"/>
      <c r="AF805" s="109"/>
      <c r="AG805" s="109"/>
      <c r="AH805" s="109"/>
      <c r="AI805" s="109"/>
      <c r="AJ805" s="109"/>
      <c r="AK805" s="109"/>
      <c r="AL805" s="109"/>
      <c r="AM805" s="109"/>
      <c r="AN805" s="109"/>
      <c r="AO805" s="109"/>
      <c r="AP805" s="109"/>
      <c r="AQ805" s="109"/>
      <c r="AR805" s="109"/>
      <c r="AS805" s="109"/>
      <c r="AT805" s="109"/>
      <c r="AU805" s="109"/>
      <c r="AV805" s="109"/>
      <c r="AW805" s="109"/>
      <c r="AX805" s="109"/>
      <c r="AY805" s="109"/>
      <c r="AZ805" s="109"/>
      <c r="BA805" s="109"/>
      <c r="BB805" s="109"/>
      <c r="BC805" s="109"/>
      <c r="BD805" s="109"/>
      <c r="BE805" s="109"/>
      <c r="BF805" s="109"/>
      <c r="BG805" s="109"/>
      <c r="BH805" s="109"/>
      <c r="BI805" s="109"/>
      <c r="BJ805" s="109"/>
      <c r="BK805" s="109"/>
      <c r="BL805" s="109"/>
      <c r="BM805" s="109"/>
      <c r="BN805" s="109"/>
      <c r="BO805" s="109"/>
      <c r="BP805" s="109"/>
      <c r="BQ805" s="109"/>
      <c r="BR805" s="109"/>
      <c r="BS805" s="109"/>
      <c r="BT805" s="109"/>
      <c r="BU805" s="109"/>
    </row>
    <row r="806" ht="15.75" customHeight="1">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10"/>
      <c r="X806" s="109"/>
      <c r="Y806" s="109"/>
      <c r="Z806" s="109"/>
      <c r="AA806" s="109"/>
      <c r="AB806" s="109"/>
      <c r="AC806" s="109"/>
      <c r="AD806" s="109"/>
      <c r="AE806" s="109"/>
      <c r="AF806" s="109"/>
      <c r="AG806" s="109"/>
      <c r="AH806" s="109"/>
      <c r="AI806" s="109"/>
      <c r="AJ806" s="109"/>
      <c r="AK806" s="109"/>
      <c r="AL806" s="109"/>
      <c r="AM806" s="109"/>
      <c r="AN806" s="109"/>
      <c r="AO806" s="109"/>
      <c r="AP806" s="109"/>
      <c r="AQ806" s="109"/>
      <c r="AR806" s="109"/>
      <c r="AS806" s="109"/>
      <c r="AT806" s="109"/>
      <c r="AU806" s="109"/>
      <c r="AV806" s="109"/>
      <c r="AW806" s="109"/>
      <c r="AX806" s="109"/>
      <c r="AY806" s="109"/>
      <c r="AZ806" s="109"/>
      <c r="BA806" s="109"/>
      <c r="BB806" s="109"/>
      <c r="BC806" s="109"/>
      <c r="BD806" s="109"/>
      <c r="BE806" s="109"/>
      <c r="BF806" s="109"/>
      <c r="BG806" s="109"/>
      <c r="BH806" s="109"/>
      <c r="BI806" s="109"/>
      <c r="BJ806" s="109"/>
      <c r="BK806" s="109"/>
      <c r="BL806" s="109"/>
      <c r="BM806" s="109"/>
      <c r="BN806" s="109"/>
      <c r="BO806" s="109"/>
      <c r="BP806" s="109"/>
      <c r="BQ806" s="109"/>
      <c r="BR806" s="109"/>
      <c r="BS806" s="109"/>
      <c r="BT806" s="109"/>
      <c r="BU806" s="109"/>
    </row>
    <row r="807" ht="15.75" customHeight="1">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10"/>
      <c r="X807" s="109"/>
      <c r="Y807" s="109"/>
      <c r="Z807" s="109"/>
      <c r="AA807" s="109"/>
      <c r="AB807" s="109"/>
      <c r="AC807" s="109"/>
      <c r="AD807" s="109"/>
      <c r="AE807" s="109"/>
      <c r="AF807" s="109"/>
      <c r="AG807" s="109"/>
      <c r="AH807" s="109"/>
      <c r="AI807" s="109"/>
      <c r="AJ807" s="109"/>
      <c r="AK807" s="109"/>
      <c r="AL807" s="109"/>
      <c r="AM807" s="109"/>
      <c r="AN807" s="109"/>
      <c r="AO807" s="109"/>
      <c r="AP807" s="109"/>
      <c r="AQ807" s="109"/>
      <c r="AR807" s="109"/>
      <c r="AS807" s="109"/>
      <c r="AT807" s="109"/>
      <c r="AU807" s="109"/>
      <c r="AV807" s="109"/>
      <c r="AW807" s="109"/>
      <c r="AX807" s="109"/>
      <c r="AY807" s="109"/>
      <c r="AZ807" s="109"/>
      <c r="BA807" s="109"/>
      <c r="BB807" s="109"/>
      <c r="BC807" s="109"/>
      <c r="BD807" s="109"/>
      <c r="BE807" s="109"/>
      <c r="BF807" s="109"/>
      <c r="BG807" s="109"/>
      <c r="BH807" s="109"/>
      <c r="BI807" s="109"/>
      <c r="BJ807" s="109"/>
      <c r="BK807" s="109"/>
      <c r="BL807" s="109"/>
      <c r="BM807" s="109"/>
      <c r="BN807" s="109"/>
      <c r="BO807" s="109"/>
      <c r="BP807" s="109"/>
      <c r="BQ807" s="109"/>
      <c r="BR807" s="109"/>
      <c r="BS807" s="109"/>
      <c r="BT807" s="109"/>
      <c r="BU807" s="109"/>
    </row>
    <row r="808" ht="15.75" customHeight="1">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10"/>
      <c r="X808" s="109"/>
      <c r="Y808" s="109"/>
      <c r="Z808" s="109"/>
      <c r="AA808" s="109"/>
      <c r="AB808" s="109"/>
      <c r="AC808" s="109"/>
      <c r="AD808" s="109"/>
      <c r="AE808" s="109"/>
      <c r="AF808" s="109"/>
      <c r="AG808" s="109"/>
      <c r="AH808" s="109"/>
      <c r="AI808" s="109"/>
      <c r="AJ808" s="109"/>
      <c r="AK808" s="109"/>
      <c r="AL808" s="109"/>
      <c r="AM808" s="109"/>
      <c r="AN808" s="109"/>
      <c r="AO808" s="109"/>
      <c r="AP808" s="109"/>
      <c r="AQ808" s="109"/>
      <c r="AR808" s="109"/>
      <c r="AS808" s="109"/>
      <c r="AT808" s="109"/>
      <c r="AU808" s="109"/>
      <c r="AV808" s="109"/>
      <c r="AW808" s="109"/>
      <c r="AX808" s="109"/>
      <c r="AY808" s="109"/>
      <c r="AZ808" s="109"/>
      <c r="BA808" s="109"/>
      <c r="BB808" s="109"/>
      <c r="BC808" s="109"/>
      <c r="BD808" s="109"/>
      <c r="BE808" s="109"/>
      <c r="BF808" s="109"/>
      <c r="BG808" s="109"/>
      <c r="BH808" s="109"/>
      <c r="BI808" s="109"/>
      <c r="BJ808" s="109"/>
      <c r="BK808" s="109"/>
      <c r="BL808" s="109"/>
      <c r="BM808" s="109"/>
      <c r="BN808" s="109"/>
      <c r="BO808" s="109"/>
      <c r="BP808" s="109"/>
      <c r="BQ808" s="109"/>
      <c r="BR808" s="109"/>
      <c r="BS808" s="109"/>
      <c r="BT808" s="109"/>
      <c r="BU808" s="109"/>
    </row>
    <row r="809" ht="15.75" customHeight="1">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10"/>
      <c r="X809" s="109"/>
      <c r="Y809" s="109"/>
      <c r="Z809" s="109"/>
      <c r="AA809" s="109"/>
      <c r="AB809" s="109"/>
      <c r="AC809" s="109"/>
      <c r="AD809" s="109"/>
      <c r="AE809" s="109"/>
      <c r="AF809" s="109"/>
      <c r="AG809" s="109"/>
      <c r="AH809" s="109"/>
      <c r="AI809" s="109"/>
      <c r="AJ809" s="109"/>
      <c r="AK809" s="109"/>
      <c r="AL809" s="109"/>
      <c r="AM809" s="109"/>
      <c r="AN809" s="109"/>
      <c r="AO809" s="109"/>
      <c r="AP809" s="109"/>
      <c r="AQ809" s="109"/>
      <c r="AR809" s="109"/>
      <c r="AS809" s="109"/>
      <c r="AT809" s="109"/>
      <c r="AU809" s="109"/>
      <c r="AV809" s="109"/>
      <c r="AW809" s="109"/>
      <c r="AX809" s="109"/>
      <c r="AY809" s="109"/>
      <c r="AZ809" s="109"/>
      <c r="BA809" s="109"/>
      <c r="BB809" s="109"/>
      <c r="BC809" s="109"/>
      <c r="BD809" s="109"/>
      <c r="BE809" s="109"/>
      <c r="BF809" s="109"/>
      <c r="BG809" s="109"/>
      <c r="BH809" s="109"/>
      <c r="BI809" s="109"/>
      <c r="BJ809" s="109"/>
      <c r="BK809" s="109"/>
      <c r="BL809" s="109"/>
      <c r="BM809" s="109"/>
      <c r="BN809" s="109"/>
      <c r="BO809" s="109"/>
      <c r="BP809" s="109"/>
      <c r="BQ809" s="109"/>
      <c r="BR809" s="109"/>
      <c r="BS809" s="109"/>
      <c r="BT809" s="109"/>
      <c r="BU809" s="109"/>
    </row>
    <row r="810" ht="15.75" customHeight="1">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10"/>
      <c r="X810" s="109"/>
      <c r="Y810" s="109"/>
      <c r="Z810" s="109"/>
      <c r="AA810" s="109"/>
      <c r="AB810" s="109"/>
      <c r="AC810" s="109"/>
      <c r="AD810" s="109"/>
      <c r="AE810" s="109"/>
      <c r="AF810" s="109"/>
      <c r="AG810" s="109"/>
      <c r="AH810" s="109"/>
      <c r="AI810" s="109"/>
      <c r="AJ810" s="109"/>
      <c r="AK810" s="109"/>
      <c r="AL810" s="109"/>
      <c r="AM810" s="109"/>
      <c r="AN810" s="109"/>
      <c r="AO810" s="109"/>
      <c r="AP810" s="109"/>
      <c r="AQ810" s="109"/>
      <c r="AR810" s="109"/>
      <c r="AS810" s="109"/>
      <c r="AT810" s="109"/>
      <c r="AU810" s="109"/>
      <c r="AV810" s="109"/>
      <c r="AW810" s="109"/>
      <c r="AX810" s="109"/>
      <c r="AY810" s="109"/>
      <c r="AZ810" s="109"/>
      <c r="BA810" s="109"/>
      <c r="BB810" s="109"/>
      <c r="BC810" s="109"/>
      <c r="BD810" s="109"/>
      <c r="BE810" s="109"/>
      <c r="BF810" s="109"/>
      <c r="BG810" s="109"/>
      <c r="BH810" s="109"/>
      <c r="BI810" s="109"/>
      <c r="BJ810" s="109"/>
      <c r="BK810" s="109"/>
      <c r="BL810" s="109"/>
      <c r="BM810" s="109"/>
      <c r="BN810" s="109"/>
      <c r="BO810" s="109"/>
      <c r="BP810" s="109"/>
      <c r="BQ810" s="109"/>
      <c r="BR810" s="109"/>
      <c r="BS810" s="109"/>
      <c r="BT810" s="109"/>
      <c r="BU810" s="109"/>
    </row>
    <row r="811" ht="15.75" customHeight="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10"/>
      <c r="X811" s="109"/>
      <c r="Y811" s="109"/>
      <c r="Z811" s="109"/>
      <c r="AA811" s="109"/>
      <c r="AB811" s="109"/>
      <c r="AC811" s="109"/>
      <c r="AD811" s="109"/>
      <c r="AE811" s="109"/>
      <c r="AF811" s="109"/>
      <c r="AG811" s="109"/>
      <c r="AH811" s="109"/>
      <c r="AI811" s="109"/>
      <c r="AJ811" s="109"/>
      <c r="AK811" s="109"/>
      <c r="AL811" s="109"/>
      <c r="AM811" s="109"/>
      <c r="AN811" s="109"/>
      <c r="AO811" s="109"/>
      <c r="AP811" s="109"/>
      <c r="AQ811" s="109"/>
      <c r="AR811" s="109"/>
      <c r="AS811" s="109"/>
      <c r="AT811" s="109"/>
      <c r="AU811" s="109"/>
      <c r="AV811" s="109"/>
      <c r="AW811" s="109"/>
      <c r="AX811" s="109"/>
      <c r="AY811" s="109"/>
      <c r="AZ811" s="109"/>
      <c r="BA811" s="109"/>
      <c r="BB811" s="109"/>
      <c r="BC811" s="109"/>
      <c r="BD811" s="109"/>
      <c r="BE811" s="109"/>
      <c r="BF811" s="109"/>
      <c r="BG811" s="109"/>
      <c r="BH811" s="109"/>
      <c r="BI811" s="109"/>
      <c r="BJ811" s="109"/>
      <c r="BK811" s="109"/>
      <c r="BL811" s="109"/>
      <c r="BM811" s="109"/>
      <c r="BN811" s="109"/>
      <c r="BO811" s="109"/>
      <c r="BP811" s="109"/>
      <c r="BQ811" s="109"/>
      <c r="BR811" s="109"/>
      <c r="BS811" s="109"/>
      <c r="BT811" s="109"/>
      <c r="BU811" s="109"/>
    </row>
    <row r="812" ht="15.75" customHeight="1">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10"/>
      <c r="X812" s="109"/>
      <c r="Y812" s="109"/>
      <c r="Z812" s="109"/>
      <c r="AA812" s="109"/>
      <c r="AB812" s="109"/>
      <c r="AC812" s="109"/>
      <c r="AD812" s="109"/>
      <c r="AE812" s="109"/>
      <c r="AF812" s="109"/>
      <c r="AG812" s="109"/>
      <c r="AH812" s="109"/>
      <c r="AI812" s="109"/>
      <c r="AJ812" s="109"/>
      <c r="AK812" s="109"/>
      <c r="AL812" s="109"/>
      <c r="AM812" s="109"/>
      <c r="AN812" s="109"/>
      <c r="AO812" s="109"/>
      <c r="AP812" s="109"/>
      <c r="AQ812" s="109"/>
      <c r="AR812" s="109"/>
      <c r="AS812" s="109"/>
      <c r="AT812" s="109"/>
      <c r="AU812" s="109"/>
      <c r="AV812" s="109"/>
      <c r="AW812" s="109"/>
      <c r="AX812" s="109"/>
      <c r="AY812" s="109"/>
      <c r="AZ812" s="109"/>
      <c r="BA812" s="109"/>
      <c r="BB812" s="109"/>
      <c r="BC812" s="109"/>
      <c r="BD812" s="109"/>
      <c r="BE812" s="109"/>
      <c r="BF812" s="109"/>
      <c r="BG812" s="109"/>
      <c r="BH812" s="109"/>
      <c r="BI812" s="109"/>
      <c r="BJ812" s="109"/>
      <c r="BK812" s="109"/>
      <c r="BL812" s="109"/>
      <c r="BM812" s="109"/>
      <c r="BN812" s="109"/>
      <c r="BO812" s="109"/>
      <c r="BP812" s="109"/>
      <c r="BQ812" s="109"/>
      <c r="BR812" s="109"/>
      <c r="BS812" s="109"/>
      <c r="BT812" s="109"/>
      <c r="BU812" s="109"/>
    </row>
    <row r="813" ht="15.75" customHeight="1">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10"/>
      <c r="X813" s="109"/>
      <c r="Y813" s="109"/>
      <c r="Z813" s="109"/>
      <c r="AA813" s="109"/>
      <c r="AB813" s="109"/>
      <c r="AC813" s="109"/>
      <c r="AD813" s="109"/>
      <c r="AE813" s="109"/>
      <c r="AF813" s="109"/>
      <c r="AG813" s="109"/>
      <c r="AH813" s="109"/>
      <c r="AI813" s="109"/>
      <c r="AJ813" s="109"/>
      <c r="AK813" s="109"/>
      <c r="AL813" s="109"/>
      <c r="AM813" s="109"/>
      <c r="AN813" s="109"/>
      <c r="AO813" s="109"/>
      <c r="AP813" s="109"/>
      <c r="AQ813" s="109"/>
      <c r="AR813" s="109"/>
      <c r="AS813" s="109"/>
      <c r="AT813" s="109"/>
      <c r="AU813" s="109"/>
      <c r="AV813" s="109"/>
      <c r="AW813" s="109"/>
      <c r="AX813" s="109"/>
      <c r="AY813" s="109"/>
      <c r="AZ813" s="109"/>
      <c r="BA813" s="109"/>
      <c r="BB813" s="109"/>
      <c r="BC813" s="109"/>
      <c r="BD813" s="109"/>
      <c r="BE813" s="109"/>
      <c r="BF813" s="109"/>
      <c r="BG813" s="109"/>
      <c r="BH813" s="109"/>
      <c r="BI813" s="109"/>
      <c r="BJ813" s="109"/>
      <c r="BK813" s="109"/>
      <c r="BL813" s="109"/>
      <c r="BM813" s="109"/>
      <c r="BN813" s="109"/>
      <c r="BO813" s="109"/>
      <c r="BP813" s="109"/>
      <c r="BQ813" s="109"/>
      <c r="BR813" s="109"/>
      <c r="BS813" s="109"/>
      <c r="BT813" s="109"/>
      <c r="BU813" s="109"/>
    </row>
    <row r="814" ht="15.75" customHeight="1">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10"/>
      <c r="X814" s="109"/>
      <c r="Y814" s="109"/>
      <c r="Z814" s="109"/>
      <c r="AA814" s="109"/>
      <c r="AB814" s="109"/>
      <c r="AC814" s="109"/>
      <c r="AD814" s="109"/>
      <c r="AE814" s="109"/>
      <c r="AF814" s="109"/>
      <c r="AG814" s="109"/>
      <c r="AH814" s="109"/>
      <c r="AI814" s="109"/>
      <c r="AJ814" s="109"/>
      <c r="AK814" s="109"/>
      <c r="AL814" s="109"/>
      <c r="AM814" s="109"/>
      <c r="AN814" s="109"/>
      <c r="AO814" s="109"/>
      <c r="AP814" s="109"/>
      <c r="AQ814" s="109"/>
      <c r="AR814" s="109"/>
      <c r="AS814" s="109"/>
      <c r="AT814" s="109"/>
      <c r="AU814" s="109"/>
      <c r="AV814" s="109"/>
      <c r="AW814" s="109"/>
      <c r="AX814" s="109"/>
      <c r="AY814" s="109"/>
      <c r="AZ814" s="109"/>
      <c r="BA814" s="109"/>
      <c r="BB814" s="109"/>
      <c r="BC814" s="109"/>
      <c r="BD814" s="109"/>
      <c r="BE814" s="109"/>
      <c r="BF814" s="109"/>
      <c r="BG814" s="109"/>
      <c r="BH814" s="109"/>
      <c r="BI814" s="109"/>
      <c r="BJ814" s="109"/>
      <c r="BK814" s="109"/>
      <c r="BL814" s="109"/>
      <c r="BM814" s="109"/>
      <c r="BN814" s="109"/>
      <c r="BO814" s="109"/>
      <c r="BP814" s="109"/>
      <c r="BQ814" s="109"/>
      <c r="BR814" s="109"/>
      <c r="BS814" s="109"/>
      <c r="BT814" s="109"/>
      <c r="BU814" s="109"/>
    </row>
    <row r="815" ht="15.75" customHeight="1">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10"/>
      <c r="X815" s="109"/>
      <c r="Y815" s="109"/>
      <c r="Z815" s="109"/>
      <c r="AA815" s="109"/>
      <c r="AB815" s="109"/>
      <c r="AC815" s="109"/>
      <c r="AD815" s="109"/>
      <c r="AE815" s="109"/>
      <c r="AF815" s="109"/>
      <c r="AG815" s="109"/>
      <c r="AH815" s="109"/>
      <c r="AI815" s="109"/>
      <c r="AJ815" s="109"/>
      <c r="AK815" s="109"/>
      <c r="AL815" s="109"/>
      <c r="AM815" s="109"/>
      <c r="AN815" s="109"/>
      <c r="AO815" s="109"/>
      <c r="AP815" s="109"/>
      <c r="AQ815" s="109"/>
      <c r="AR815" s="109"/>
      <c r="AS815" s="109"/>
      <c r="AT815" s="109"/>
      <c r="AU815" s="109"/>
      <c r="AV815" s="109"/>
      <c r="AW815" s="109"/>
      <c r="AX815" s="109"/>
      <c r="AY815" s="109"/>
      <c r="AZ815" s="109"/>
      <c r="BA815" s="109"/>
      <c r="BB815" s="109"/>
      <c r="BC815" s="109"/>
      <c r="BD815" s="109"/>
      <c r="BE815" s="109"/>
      <c r="BF815" s="109"/>
      <c r="BG815" s="109"/>
      <c r="BH815" s="109"/>
      <c r="BI815" s="109"/>
      <c r="BJ815" s="109"/>
      <c r="BK815" s="109"/>
      <c r="BL815" s="109"/>
      <c r="BM815" s="109"/>
      <c r="BN815" s="109"/>
      <c r="BO815" s="109"/>
      <c r="BP815" s="109"/>
      <c r="BQ815" s="109"/>
      <c r="BR815" s="109"/>
      <c r="BS815" s="109"/>
      <c r="BT815" s="109"/>
      <c r="BU815" s="109"/>
    </row>
    <row r="816" ht="15.75" customHeight="1">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10"/>
      <c r="X816" s="109"/>
      <c r="Y816" s="109"/>
      <c r="Z816" s="109"/>
      <c r="AA816" s="109"/>
      <c r="AB816" s="109"/>
      <c r="AC816" s="109"/>
      <c r="AD816" s="109"/>
      <c r="AE816" s="109"/>
      <c r="AF816" s="109"/>
      <c r="AG816" s="109"/>
      <c r="AH816" s="109"/>
      <c r="AI816" s="109"/>
      <c r="AJ816" s="109"/>
      <c r="AK816" s="109"/>
      <c r="AL816" s="109"/>
      <c r="AM816" s="109"/>
      <c r="AN816" s="109"/>
      <c r="AO816" s="109"/>
      <c r="AP816" s="109"/>
      <c r="AQ816" s="109"/>
      <c r="AR816" s="109"/>
      <c r="AS816" s="109"/>
      <c r="AT816" s="109"/>
      <c r="AU816" s="109"/>
      <c r="AV816" s="109"/>
      <c r="AW816" s="109"/>
      <c r="AX816" s="109"/>
      <c r="AY816" s="109"/>
      <c r="AZ816" s="109"/>
      <c r="BA816" s="109"/>
      <c r="BB816" s="109"/>
      <c r="BC816" s="109"/>
      <c r="BD816" s="109"/>
      <c r="BE816" s="109"/>
      <c r="BF816" s="109"/>
      <c r="BG816" s="109"/>
      <c r="BH816" s="109"/>
      <c r="BI816" s="109"/>
      <c r="BJ816" s="109"/>
      <c r="BK816" s="109"/>
      <c r="BL816" s="109"/>
      <c r="BM816" s="109"/>
      <c r="BN816" s="109"/>
      <c r="BO816" s="109"/>
      <c r="BP816" s="109"/>
      <c r="BQ816" s="109"/>
      <c r="BR816" s="109"/>
      <c r="BS816" s="109"/>
      <c r="BT816" s="109"/>
      <c r="BU816" s="109"/>
    </row>
    <row r="817" ht="15.75" customHeight="1">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10"/>
      <c r="X817" s="109"/>
      <c r="Y817" s="109"/>
      <c r="Z817" s="109"/>
      <c r="AA817" s="109"/>
      <c r="AB817" s="109"/>
      <c r="AC817" s="109"/>
      <c r="AD817" s="109"/>
      <c r="AE817" s="109"/>
      <c r="AF817" s="109"/>
      <c r="AG817" s="109"/>
      <c r="AH817" s="109"/>
      <c r="AI817" s="109"/>
      <c r="AJ817" s="109"/>
      <c r="AK817" s="109"/>
      <c r="AL817" s="109"/>
      <c r="AM817" s="109"/>
      <c r="AN817" s="109"/>
      <c r="AO817" s="109"/>
      <c r="AP817" s="109"/>
      <c r="AQ817" s="109"/>
      <c r="AR817" s="109"/>
      <c r="AS817" s="109"/>
      <c r="AT817" s="109"/>
      <c r="AU817" s="109"/>
      <c r="AV817" s="109"/>
      <c r="AW817" s="109"/>
      <c r="AX817" s="109"/>
      <c r="AY817" s="109"/>
      <c r="AZ817" s="109"/>
      <c r="BA817" s="109"/>
      <c r="BB817" s="109"/>
      <c r="BC817" s="109"/>
      <c r="BD817" s="109"/>
      <c r="BE817" s="109"/>
      <c r="BF817" s="109"/>
      <c r="BG817" s="109"/>
      <c r="BH817" s="109"/>
      <c r="BI817" s="109"/>
      <c r="BJ817" s="109"/>
      <c r="BK817" s="109"/>
      <c r="BL817" s="109"/>
      <c r="BM817" s="109"/>
      <c r="BN817" s="109"/>
      <c r="BO817" s="109"/>
      <c r="BP817" s="109"/>
      <c r="BQ817" s="109"/>
      <c r="BR817" s="109"/>
      <c r="BS817" s="109"/>
      <c r="BT817" s="109"/>
      <c r="BU817" s="109"/>
    </row>
    <row r="818" ht="15.75" customHeight="1">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10"/>
      <c r="X818" s="109"/>
      <c r="Y818" s="109"/>
      <c r="Z818" s="109"/>
      <c r="AA818" s="109"/>
      <c r="AB818" s="109"/>
      <c r="AC818" s="109"/>
      <c r="AD818" s="109"/>
      <c r="AE818" s="109"/>
      <c r="AF818" s="109"/>
      <c r="AG818" s="109"/>
      <c r="AH818" s="109"/>
      <c r="AI818" s="109"/>
      <c r="AJ818" s="109"/>
      <c r="AK818" s="109"/>
      <c r="AL818" s="109"/>
      <c r="AM818" s="109"/>
      <c r="AN818" s="109"/>
      <c r="AO818" s="109"/>
      <c r="AP818" s="109"/>
      <c r="AQ818" s="109"/>
      <c r="AR818" s="109"/>
      <c r="AS818" s="109"/>
      <c r="AT818" s="109"/>
      <c r="AU818" s="109"/>
      <c r="AV818" s="109"/>
      <c r="AW818" s="109"/>
      <c r="AX818" s="109"/>
      <c r="AY818" s="109"/>
      <c r="AZ818" s="109"/>
      <c r="BA818" s="109"/>
      <c r="BB818" s="109"/>
      <c r="BC818" s="109"/>
      <c r="BD818" s="109"/>
      <c r="BE818" s="109"/>
      <c r="BF818" s="109"/>
      <c r="BG818" s="109"/>
      <c r="BH818" s="109"/>
      <c r="BI818" s="109"/>
      <c r="BJ818" s="109"/>
      <c r="BK818" s="109"/>
      <c r="BL818" s="109"/>
      <c r="BM818" s="109"/>
      <c r="BN818" s="109"/>
      <c r="BO818" s="109"/>
      <c r="BP818" s="109"/>
      <c r="BQ818" s="109"/>
      <c r="BR818" s="109"/>
      <c r="BS818" s="109"/>
      <c r="BT818" s="109"/>
      <c r="BU818" s="109"/>
    </row>
    <row r="819" ht="15.75" customHeight="1">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10"/>
      <c r="X819" s="109"/>
      <c r="Y819" s="109"/>
      <c r="Z819" s="109"/>
      <c r="AA819" s="109"/>
      <c r="AB819" s="109"/>
      <c r="AC819" s="109"/>
      <c r="AD819" s="109"/>
      <c r="AE819" s="109"/>
      <c r="AF819" s="109"/>
      <c r="AG819" s="109"/>
      <c r="AH819" s="109"/>
      <c r="AI819" s="109"/>
      <c r="AJ819" s="109"/>
      <c r="AK819" s="109"/>
      <c r="AL819" s="109"/>
      <c r="AM819" s="109"/>
      <c r="AN819" s="109"/>
      <c r="AO819" s="109"/>
      <c r="AP819" s="109"/>
      <c r="AQ819" s="109"/>
      <c r="AR819" s="109"/>
      <c r="AS819" s="109"/>
      <c r="AT819" s="109"/>
      <c r="AU819" s="109"/>
      <c r="AV819" s="109"/>
      <c r="AW819" s="109"/>
      <c r="AX819" s="109"/>
      <c r="AY819" s="109"/>
      <c r="AZ819" s="109"/>
      <c r="BA819" s="109"/>
      <c r="BB819" s="109"/>
      <c r="BC819" s="109"/>
      <c r="BD819" s="109"/>
      <c r="BE819" s="109"/>
      <c r="BF819" s="109"/>
      <c r="BG819" s="109"/>
      <c r="BH819" s="109"/>
      <c r="BI819" s="109"/>
      <c r="BJ819" s="109"/>
      <c r="BK819" s="109"/>
      <c r="BL819" s="109"/>
      <c r="BM819" s="109"/>
      <c r="BN819" s="109"/>
      <c r="BO819" s="109"/>
      <c r="BP819" s="109"/>
      <c r="BQ819" s="109"/>
      <c r="BR819" s="109"/>
      <c r="BS819" s="109"/>
      <c r="BT819" s="109"/>
      <c r="BU819" s="109"/>
    </row>
    <row r="820" ht="15.75" customHeight="1">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10"/>
      <c r="X820" s="109"/>
      <c r="Y820" s="109"/>
      <c r="Z820" s="109"/>
      <c r="AA820" s="109"/>
      <c r="AB820" s="109"/>
      <c r="AC820" s="109"/>
      <c r="AD820" s="109"/>
      <c r="AE820" s="109"/>
      <c r="AF820" s="109"/>
      <c r="AG820" s="109"/>
      <c r="AH820" s="109"/>
      <c r="AI820" s="109"/>
      <c r="AJ820" s="109"/>
      <c r="AK820" s="109"/>
      <c r="AL820" s="109"/>
      <c r="AM820" s="109"/>
      <c r="AN820" s="109"/>
      <c r="AO820" s="109"/>
      <c r="AP820" s="109"/>
      <c r="AQ820" s="109"/>
      <c r="AR820" s="109"/>
      <c r="AS820" s="109"/>
      <c r="AT820" s="109"/>
      <c r="AU820" s="109"/>
      <c r="AV820" s="109"/>
      <c r="AW820" s="109"/>
      <c r="AX820" s="109"/>
      <c r="AY820" s="109"/>
      <c r="AZ820" s="109"/>
      <c r="BA820" s="109"/>
      <c r="BB820" s="109"/>
      <c r="BC820" s="109"/>
      <c r="BD820" s="109"/>
      <c r="BE820" s="109"/>
      <c r="BF820" s="109"/>
      <c r="BG820" s="109"/>
      <c r="BH820" s="109"/>
      <c r="BI820" s="109"/>
      <c r="BJ820" s="109"/>
      <c r="BK820" s="109"/>
      <c r="BL820" s="109"/>
      <c r="BM820" s="109"/>
      <c r="BN820" s="109"/>
      <c r="BO820" s="109"/>
      <c r="BP820" s="109"/>
      <c r="BQ820" s="109"/>
      <c r="BR820" s="109"/>
      <c r="BS820" s="109"/>
      <c r="BT820" s="109"/>
      <c r="BU820" s="109"/>
    </row>
    <row r="821" ht="15.75" customHeight="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10"/>
      <c r="X821" s="109"/>
      <c r="Y821" s="109"/>
      <c r="Z821" s="109"/>
      <c r="AA821" s="109"/>
      <c r="AB821" s="109"/>
      <c r="AC821" s="109"/>
      <c r="AD821" s="109"/>
      <c r="AE821" s="109"/>
      <c r="AF821" s="109"/>
      <c r="AG821" s="109"/>
      <c r="AH821" s="109"/>
      <c r="AI821" s="109"/>
      <c r="AJ821" s="109"/>
      <c r="AK821" s="109"/>
      <c r="AL821" s="109"/>
      <c r="AM821" s="109"/>
      <c r="AN821" s="109"/>
      <c r="AO821" s="109"/>
      <c r="AP821" s="109"/>
      <c r="AQ821" s="109"/>
      <c r="AR821" s="109"/>
      <c r="AS821" s="109"/>
      <c r="AT821" s="109"/>
      <c r="AU821" s="109"/>
      <c r="AV821" s="109"/>
      <c r="AW821" s="109"/>
      <c r="AX821" s="109"/>
      <c r="AY821" s="109"/>
      <c r="AZ821" s="109"/>
      <c r="BA821" s="109"/>
      <c r="BB821" s="109"/>
      <c r="BC821" s="109"/>
      <c r="BD821" s="109"/>
      <c r="BE821" s="109"/>
      <c r="BF821" s="109"/>
      <c r="BG821" s="109"/>
      <c r="BH821" s="109"/>
      <c r="BI821" s="109"/>
      <c r="BJ821" s="109"/>
      <c r="BK821" s="109"/>
      <c r="BL821" s="109"/>
      <c r="BM821" s="109"/>
      <c r="BN821" s="109"/>
      <c r="BO821" s="109"/>
      <c r="BP821" s="109"/>
      <c r="BQ821" s="109"/>
      <c r="BR821" s="109"/>
      <c r="BS821" s="109"/>
      <c r="BT821" s="109"/>
      <c r="BU821" s="109"/>
    </row>
    <row r="822" ht="15.75" customHeight="1">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10"/>
      <c r="X822" s="109"/>
      <c r="Y822" s="109"/>
      <c r="Z822" s="109"/>
      <c r="AA822" s="109"/>
      <c r="AB822" s="109"/>
      <c r="AC822" s="109"/>
      <c r="AD822" s="109"/>
      <c r="AE822" s="109"/>
      <c r="AF822" s="109"/>
      <c r="AG822" s="109"/>
      <c r="AH822" s="109"/>
      <c r="AI822" s="109"/>
      <c r="AJ822" s="109"/>
      <c r="AK822" s="109"/>
      <c r="AL822" s="109"/>
      <c r="AM822" s="109"/>
      <c r="AN822" s="109"/>
      <c r="AO822" s="109"/>
      <c r="AP822" s="109"/>
      <c r="AQ822" s="109"/>
      <c r="AR822" s="109"/>
      <c r="AS822" s="109"/>
      <c r="AT822" s="109"/>
      <c r="AU822" s="109"/>
      <c r="AV822" s="109"/>
      <c r="AW822" s="109"/>
      <c r="AX822" s="109"/>
      <c r="AY822" s="109"/>
      <c r="AZ822" s="109"/>
      <c r="BA822" s="109"/>
      <c r="BB822" s="109"/>
      <c r="BC822" s="109"/>
      <c r="BD822" s="109"/>
      <c r="BE822" s="109"/>
      <c r="BF822" s="109"/>
      <c r="BG822" s="109"/>
      <c r="BH822" s="109"/>
      <c r="BI822" s="109"/>
      <c r="BJ822" s="109"/>
      <c r="BK822" s="109"/>
      <c r="BL822" s="109"/>
      <c r="BM822" s="109"/>
      <c r="BN822" s="109"/>
      <c r="BO822" s="109"/>
      <c r="BP822" s="109"/>
      <c r="BQ822" s="109"/>
      <c r="BR822" s="109"/>
      <c r="BS822" s="109"/>
      <c r="BT822" s="109"/>
      <c r="BU822" s="109"/>
    </row>
    <row r="823" ht="15.75" customHeight="1">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10"/>
      <c r="X823" s="109"/>
      <c r="Y823" s="109"/>
      <c r="Z823" s="109"/>
      <c r="AA823" s="109"/>
      <c r="AB823" s="109"/>
      <c r="AC823" s="109"/>
      <c r="AD823" s="109"/>
      <c r="AE823" s="109"/>
      <c r="AF823" s="109"/>
      <c r="AG823" s="109"/>
      <c r="AH823" s="109"/>
      <c r="AI823" s="109"/>
      <c r="AJ823" s="109"/>
      <c r="AK823" s="109"/>
      <c r="AL823" s="109"/>
      <c r="AM823" s="109"/>
      <c r="AN823" s="109"/>
      <c r="AO823" s="109"/>
      <c r="AP823" s="109"/>
      <c r="AQ823" s="109"/>
      <c r="AR823" s="109"/>
      <c r="AS823" s="109"/>
      <c r="AT823" s="109"/>
      <c r="AU823" s="109"/>
      <c r="AV823" s="109"/>
      <c r="AW823" s="109"/>
      <c r="AX823" s="109"/>
      <c r="AY823" s="109"/>
      <c r="AZ823" s="109"/>
      <c r="BA823" s="109"/>
      <c r="BB823" s="109"/>
      <c r="BC823" s="109"/>
      <c r="BD823" s="109"/>
      <c r="BE823" s="109"/>
      <c r="BF823" s="109"/>
      <c r="BG823" s="109"/>
      <c r="BH823" s="109"/>
      <c r="BI823" s="109"/>
      <c r="BJ823" s="109"/>
      <c r="BK823" s="109"/>
      <c r="BL823" s="109"/>
      <c r="BM823" s="109"/>
      <c r="BN823" s="109"/>
      <c r="BO823" s="109"/>
      <c r="BP823" s="109"/>
      <c r="BQ823" s="109"/>
      <c r="BR823" s="109"/>
      <c r="BS823" s="109"/>
      <c r="BT823" s="109"/>
      <c r="BU823" s="109"/>
    </row>
    <row r="824" ht="15.75" customHeight="1">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10"/>
      <c r="X824" s="109"/>
      <c r="Y824" s="109"/>
      <c r="Z824" s="109"/>
      <c r="AA824" s="109"/>
      <c r="AB824" s="109"/>
      <c r="AC824" s="109"/>
      <c r="AD824" s="109"/>
      <c r="AE824" s="109"/>
      <c r="AF824" s="109"/>
      <c r="AG824" s="109"/>
      <c r="AH824" s="109"/>
      <c r="AI824" s="109"/>
      <c r="AJ824" s="109"/>
      <c r="AK824" s="109"/>
      <c r="AL824" s="109"/>
      <c r="AM824" s="109"/>
      <c r="AN824" s="109"/>
      <c r="AO824" s="109"/>
      <c r="AP824" s="109"/>
      <c r="AQ824" s="109"/>
      <c r="AR824" s="109"/>
      <c r="AS824" s="109"/>
      <c r="AT824" s="109"/>
      <c r="AU824" s="109"/>
      <c r="AV824" s="109"/>
      <c r="AW824" s="109"/>
      <c r="AX824" s="109"/>
      <c r="AY824" s="109"/>
      <c r="AZ824" s="109"/>
      <c r="BA824" s="109"/>
      <c r="BB824" s="109"/>
      <c r="BC824" s="109"/>
      <c r="BD824" s="109"/>
      <c r="BE824" s="109"/>
      <c r="BF824" s="109"/>
      <c r="BG824" s="109"/>
      <c r="BH824" s="109"/>
      <c r="BI824" s="109"/>
      <c r="BJ824" s="109"/>
      <c r="BK824" s="109"/>
      <c r="BL824" s="109"/>
      <c r="BM824" s="109"/>
      <c r="BN824" s="109"/>
      <c r="BO824" s="109"/>
      <c r="BP824" s="109"/>
      <c r="BQ824" s="109"/>
      <c r="BR824" s="109"/>
      <c r="BS824" s="109"/>
      <c r="BT824" s="109"/>
      <c r="BU824" s="109"/>
    </row>
    <row r="825" ht="15.75" customHeight="1">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10"/>
      <c r="X825" s="109"/>
      <c r="Y825" s="109"/>
      <c r="Z825" s="109"/>
      <c r="AA825" s="109"/>
      <c r="AB825" s="109"/>
      <c r="AC825" s="109"/>
      <c r="AD825" s="109"/>
      <c r="AE825" s="109"/>
      <c r="AF825" s="109"/>
      <c r="AG825" s="109"/>
      <c r="AH825" s="109"/>
      <c r="AI825" s="109"/>
      <c r="AJ825" s="109"/>
      <c r="AK825" s="109"/>
      <c r="AL825" s="109"/>
      <c r="AM825" s="109"/>
      <c r="AN825" s="109"/>
      <c r="AO825" s="109"/>
      <c r="AP825" s="109"/>
      <c r="AQ825" s="109"/>
      <c r="AR825" s="109"/>
      <c r="AS825" s="109"/>
      <c r="AT825" s="109"/>
      <c r="AU825" s="109"/>
      <c r="AV825" s="109"/>
      <c r="AW825" s="109"/>
      <c r="AX825" s="109"/>
      <c r="AY825" s="109"/>
      <c r="AZ825" s="109"/>
      <c r="BA825" s="109"/>
      <c r="BB825" s="109"/>
      <c r="BC825" s="109"/>
      <c r="BD825" s="109"/>
      <c r="BE825" s="109"/>
      <c r="BF825" s="109"/>
      <c r="BG825" s="109"/>
      <c r="BH825" s="109"/>
      <c r="BI825" s="109"/>
      <c r="BJ825" s="109"/>
      <c r="BK825" s="109"/>
      <c r="BL825" s="109"/>
      <c r="BM825" s="109"/>
      <c r="BN825" s="109"/>
      <c r="BO825" s="109"/>
      <c r="BP825" s="109"/>
      <c r="BQ825" s="109"/>
      <c r="BR825" s="109"/>
      <c r="BS825" s="109"/>
      <c r="BT825" s="109"/>
      <c r="BU825" s="109"/>
    </row>
    <row r="826" ht="15.75" customHeight="1">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10"/>
      <c r="X826" s="109"/>
      <c r="Y826" s="109"/>
      <c r="Z826" s="109"/>
      <c r="AA826" s="109"/>
      <c r="AB826" s="109"/>
      <c r="AC826" s="109"/>
      <c r="AD826" s="109"/>
      <c r="AE826" s="109"/>
      <c r="AF826" s="109"/>
      <c r="AG826" s="109"/>
      <c r="AH826" s="109"/>
      <c r="AI826" s="109"/>
      <c r="AJ826" s="109"/>
      <c r="AK826" s="109"/>
      <c r="AL826" s="109"/>
      <c r="AM826" s="109"/>
      <c r="AN826" s="109"/>
      <c r="AO826" s="109"/>
      <c r="AP826" s="109"/>
      <c r="AQ826" s="109"/>
      <c r="AR826" s="109"/>
      <c r="AS826" s="109"/>
      <c r="AT826" s="109"/>
      <c r="AU826" s="109"/>
      <c r="AV826" s="109"/>
      <c r="AW826" s="109"/>
      <c r="AX826" s="109"/>
      <c r="AY826" s="109"/>
      <c r="AZ826" s="109"/>
      <c r="BA826" s="109"/>
      <c r="BB826" s="109"/>
      <c r="BC826" s="109"/>
      <c r="BD826" s="109"/>
      <c r="BE826" s="109"/>
      <c r="BF826" s="109"/>
      <c r="BG826" s="109"/>
      <c r="BH826" s="109"/>
      <c r="BI826" s="109"/>
      <c r="BJ826" s="109"/>
      <c r="BK826" s="109"/>
      <c r="BL826" s="109"/>
      <c r="BM826" s="109"/>
      <c r="BN826" s="109"/>
      <c r="BO826" s="109"/>
      <c r="BP826" s="109"/>
      <c r="BQ826" s="109"/>
      <c r="BR826" s="109"/>
      <c r="BS826" s="109"/>
      <c r="BT826" s="109"/>
      <c r="BU826" s="109"/>
    </row>
    <row r="827" ht="15.75" customHeight="1">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10"/>
      <c r="X827" s="109"/>
      <c r="Y827" s="109"/>
      <c r="Z827" s="109"/>
      <c r="AA827" s="109"/>
      <c r="AB827" s="109"/>
      <c r="AC827" s="109"/>
      <c r="AD827" s="109"/>
      <c r="AE827" s="109"/>
      <c r="AF827" s="109"/>
      <c r="AG827" s="109"/>
      <c r="AH827" s="109"/>
      <c r="AI827" s="109"/>
      <c r="AJ827" s="109"/>
      <c r="AK827" s="109"/>
      <c r="AL827" s="109"/>
      <c r="AM827" s="109"/>
      <c r="AN827" s="109"/>
      <c r="AO827" s="109"/>
      <c r="AP827" s="109"/>
      <c r="AQ827" s="109"/>
      <c r="AR827" s="109"/>
      <c r="AS827" s="109"/>
      <c r="AT827" s="109"/>
      <c r="AU827" s="109"/>
      <c r="AV827" s="109"/>
      <c r="AW827" s="109"/>
      <c r="AX827" s="109"/>
      <c r="AY827" s="109"/>
      <c r="AZ827" s="109"/>
      <c r="BA827" s="109"/>
      <c r="BB827" s="109"/>
      <c r="BC827" s="109"/>
      <c r="BD827" s="109"/>
      <c r="BE827" s="109"/>
      <c r="BF827" s="109"/>
      <c r="BG827" s="109"/>
      <c r="BH827" s="109"/>
      <c r="BI827" s="109"/>
      <c r="BJ827" s="109"/>
      <c r="BK827" s="109"/>
      <c r="BL827" s="109"/>
      <c r="BM827" s="109"/>
      <c r="BN827" s="109"/>
      <c r="BO827" s="109"/>
      <c r="BP827" s="109"/>
      <c r="BQ827" s="109"/>
      <c r="BR827" s="109"/>
      <c r="BS827" s="109"/>
      <c r="BT827" s="109"/>
      <c r="BU827" s="109"/>
    </row>
    <row r="828" ht="15.75" customHeight="1">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10"/>
      <c r="X828" s="109"/>
      <c r="Y828" s="109"/>
      <c r="Z828" s="109"/>
      <c r="AA828" s="109"/>
      <c r="AB828" s="109"/>
      <c r="AC828" s="109"/>
      <c r="AD828" s="109"/>
      <c r="AE828" s="109"/>
      <c r="AF828" s="109"/>
      <c r="AG828" s="109"/>
      <c r="AH828" s="109"/>
      <c r="AI828" s="109"/>
      <c r="AJ828" s="109"/>
      <c r="AK828" s="109"/>
      <c r="AL828" s="109"/>
      <c r="AM828" s="109"/>
      <c r="AN828" s="109"/>
      <c r="AO828" s="109"/>
      <c r="AP828" s="109"/>
      <c r="AQ828" s="109"/>
      <c r="AR828" s="109"/>
      <c r="AS828" s="109"/>
      <c r="AT828" s="109"/>
      <c r="AU828" s="109"/>
      <c r="AV828" s="109"/>
      <c r="AW828" s="109"/>
      <c r="AX828" s="109"/>
      <c r="AY828" s="109"/>
      <c r="AZ828" s="109"/>
      <c r="BA828" s="109"/>
      <c r="BB828" s="109"/>
      <c r="BC828" s="109"/>
      <c r="BD828" s="109"/>
      <c r="BE828" s="109"/>
      <c r="BF828" s="109"/>
      <c r="BG828" s="109"/>
      <c r="BH828" s="109"/>
      <c r="BI828" s="109"/>
      <c r="BJ828" s="109"/>
      <c r="BK828" s="109"/>
      <c r="BL828" s="109"/>
      <c r="BM828" s="109"/>
      <c r="BN828" s="109"/>
      <c r="BO828" s="109"/>
      <c r="BP828" s="109"/>
      <c r="BQ828" s="109"/>
      <c r="BR828" s="109"/>
      <c r="BS828" s="109"/>
      <c r="BT828" s="109"/>
      <c r="BU828" s="109"/>
    </row>
    <row r="829" ht="15.75" customHeight="1">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10"/>
      <c r="X829" s="109"/>
      <c r="Y829" s="109"/>
      <c r="Z829" s="109"/>
      <c r="AA829" s="109"/>
      <c r="AB829" s="109"/>
      <c r="AC829" s="109"/>
      <c r="AD829" s="109"/>
      <c r="AE829" s="109"/>
      <c r="AF829" s="109"/>
      <c r="AG829" s="109"/>
      <c r="AH829" s="109"/>
      <c r="AI829" s="109"/>
      <c r="AJ829" s="109"/>
      <c r="AK829" s="109"/>
      <c r="AL829" s="109"/>
      <c r="AM829" s="109"/>
      <c r="AN829" s="109"/>
      <c r="AO829" s="109"/>
      <c r="AP829" s="109"/>
      <c r="AQ829" s="109"/>
      <c r="AR829" s="109"/>
      <c r="AS829" s="109"/>
      <c r="AT829" s="109"/>
      <c r="AU829" s="109"/>
      <c r="AV829" s="109"/>
      <c r="AW829" s="109"/>
      <c r="AX829" s="109"/>
      <c r="AY829" s="109"/>
      <c r="AZ829" s="109"/>
      <c r="BA829" s="109"/>
      <c r="BB829" s="109"/>
      <c r="BC829" s="109"/>
      <c r="BD829" s="109"/>
      <c r="BE829" s="109"/>
      <c r="BF829" s="109"/>
      <c r="BG829" s="109"/>
      <c r="BH829" s="109"/>
      <c r="BI829" s="109"/>
      <c r="BJ829" s="109"/>
      <c r="BK829" s="109"/>
      <c r="BL829" s="109"/>
      <c r="BM829" s="109"/>
      <c r="BN829" s="109"/>
      <c r="BO829" s="109"/>
      <c r="BP829" s="109"/>
      <c r="BQ829" s="109"/>
      <c r="BR829" s="109"/>
      <c r="BS829" s="109"/>
      <c r="BT829" s="109"/>
      <c r="BU829" s="109"/>
    </row>
    <row r="830" ht="15.75" customHeight="1">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10"/>
      <c r="X830" s="109"/>
      <c r="Y830" s="109"/>
      <c r="Z830" s="109"/>
      <c r="AA830" s="109"/>
      <c r="AB830" s="109"/>
      <c r="AC830" s="109"/>
      <c r="AD830" s="109"/>
      <c r="AE830" s="109"/>
      <c r="AF830" s="109"/>
      <c r="AG830" s="109"/>
      <c r="AH830" s="109"/>
      <c r="AI830" s="109"/>
      <c r="AJ830" s="109"/>
      <c r="AK830" s="109"/>
      <c r="AL830" s="109"/>
      <c r="AM830" s="109"/>
      <c r="AN830" s="109"/>
      <c r="AO830" s="109"/>
      <c r="AP830" s="109"/>
      <c r="AQ830" s="109"/>
      <c r="AR830" s="109"/>
      <c r="AS830" s="109"/>
      <c r="AT830" s="109"/>
      <c r="AU830" s="109"/>
      <c r="AV830" s="109"/>
      <c r="AW830" s="109"/>
      <c r="AX830" s="109"/>
      <c r="AY830" s="109"/>
      <c r="AZ830" s="109"/>
      <c r="BA830" s="109"/>
      <c r="BB830" s="109"/>
      <c r="BC830" s="109"/>
      <c r="BD830" s="109"/>
      <c r="BE830" s="109"/>
      <c r="BF830" s="109"/>
      <c r="BG830" s="109"/>
      <c r="BH830" s="109"/>
      <c r="BI830" s="109"/>
      <c r="BJ830" s="109"/>
      <c r="BK830" s="109"/>
      <c r="BL830" s="109"/>
      <c r="BM830" s="109"/>
      <c r="BN830" s="109"/>
      <c r="BO830" s="109"/>
      <c r="BP830" s="109"/>
      <c r="BQ830" s="109"/>
      <c r="BR830" s="109"/>
      <c r="BS830" s="109"/>
      <c r="BT830" s="109"/>
      <c r="BU830" s="109"/>
    </row>
    <row r="831" ht="15.75" customHeight="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10"/>
      <c r="X831" s="109"/>
      <c r="Y831" s="109"/>
      <c r="Z831" s="109"/>
      <c r="AA831" s="109"/>
      <c r="AB831" s="109"/>
      <c r="AC831" s="109"/>
      <c r="AD831" s="109"/>
      <c r="AE831" s="109"/>
      <c r="AF831" s="109"/>
      <c r="AG831" s="109"/>
      <c r="AH831" s="109"/>
      <c r="AI831" s="109"/>
      <c r="AJ831" s="109"/>
      <c r="AK831" s="109"/>
      <c r="AL831" s="109"/>
      <c r="AM831" s="109"/>
      <c r="AN831" s="109"/>
      <c r="AO831" s="109"/>
      <c r="AP831" s="109"/>
      <c r="AQ831" s="109"/>
      <c r="AR831" s="109"/>
      <c r="AS831" s="109"/>
      <c r="AT831" s="109"/>
      <c r="AU831" s="109"/>
      <c r="AV831" s="109"/>
      <c r="AW831" s="109"/>
      <c r="AX831" s="109"/>
      <c r="AY831" s="109"/>
      <c r="AZ831" s="109"/>
      <c r="BA831" s="109"/>
      <c r="BB831" s="109"/>
      <c r="BC831" s="109"/>
      <c r="BD831" s="109"/>
      <c r="BE831" s="109"/>
      <c r="BF831" s="109"/>
      <c r="BG831" s="109"/>
      <c r="BH831" s="109"/>
      <c r="BI831" s="109"/>
      <c r="BJ831" s="109"/>
      <c r="BK831" s="109"/>
      <c r="BL831" s="109"/>
      <c r="BM831" s="109"/>
      <c r="BN831" s="109"/>
      <c r="BO831" s="109"/>
      <c r="BP831" s="109"/>
      <c r="BQ831" s="109"/>
      <c r="BR831" s="109"/>
      <c r="BS831" s="109"/>
      <c r="BT831" s="109"/>
      <c r="BU831" s="109"/>
    </row>
    <row r="832" ht="15.75" customHeight="1">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10"/>
      <c r="X832" s="109"/>
      <c r="Y832" s="109"/>
      <c r="Z832" s="109"/>
      <c r="AA832" s="109"/>
      <c r="AB832" s="109"/>
      <c r="AC832" s="109"/>
      <c r="AD832" s="109"/>
      <c r="AE832" s="109"/>
      <c r="AF832" s="109"/>
      <c r="AG832" s="109"/>
      <c r="AH832" s="109"/>
      <c r="AI832" s="109"/>
      <c r="AJ832" s="109"/>
      <c r="AK832" s="109"/>
      <c r="AL832" s="109"/>
      <c r="AM832" s="109"/>
      <c r="AN832" s="109"/>
      <c r="AO832" s="109"/>
      <c r="AP832" s="109"/>
      <c r="AQ832" s="109"/>
      <c r="AR832" s="109"/>
      <c r="AS832" s="109"/>
      <c r="AT832" s="109"/>
      <c r="AU832" s="109"/>
      <c r="AV832" s="109"/>
      <c r="AW832" s="109"/>
      <c r="AX832" s="109"/>
      <c r="AY832" s="109"/>
      <c r="AZ832" s="109"/>
      <c r="BA832" s="109"/>
      <c r="BB832" s="109"/>
      <c r="BC832" s="109"/>
      <c r="BD832" s="109"/>
      <c r="BE832" s="109"/>
      <c r="BF832" s="109"/>
      <c r="BG832" s="109"/>
      <c r="BH832" s="109"/>
      <c r="BI832" s="109"/>
      <c r="BJ832" s="109"/>
      <c r="BK832" s="109"/>
      <c r="BL832" s="109"/>
      <c r="BM832" s="109"/>
      <c r="BN832" s="109"/>
      <c r="BO832" s="109"/>
      <c r="BP832" s="109"/>
      <c r="BQ832" s="109"/>
      <c r="BR832" s="109"/>
      <c r="BS832" s="109"/>
      <c r="BT832" s="109"/>
      <c r="BU832" s="109"/>
    </row>
    <row r="833" ht="15.75" customHeight="1">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10"/>
      <c r="X833" s="109"/>
      <c r="Y833" s="109"/>
      <c r="Z833" s="109"/>
      <c r="AA833" s="109"/>
      <c r="AB833" s="109"/>
      <c r="AC833" s="109"/>
      <c r="AD833" s="109"/>
      <c r="AE833" s="109"/>
      <c r="AF833" s="109"/>
      <c r="AG833" s="109"/>
      <c r="AH833" s="109"/>
      <c r="AI833" s="109"/>
      <c r="AJ833" s="109"/>
      <c r="AK833" s="109"/>
      <c r="AL833" s="109"/>
      <c r="AM833" s="109"/>
      <c r="AN833" s="109"/>
      <c r="AO833" s="109"/>
      <c r="AP833" s="109"/>
      <c r="AQ833" s="109"/>
      <c r="AR833" s="109"/>
      <c r="AS833" s="109"/>
      <c r="AT833" s="109"/>
      <c r="AU833" s="109"/>
      <c r="AV833" s="109"/>
      <c r="AW833" s="109"/>
      <c r="AX833" s="109"/>
      <c r="AY833" s="109"/>
      <c r="AZ833" s="109"/>
      <c r="BA833" s="109"/>
      <c r="BB833" s="109"/>
      <c r="BC833" s="109"/>
      <c r="BD833" s="109"/>
      <c r="BE833" s="109"/>
      <c r="BF833" s="109"/>
      <c r="BG833" s="109"/>
      <c r="BH833" s="109"/>
      <c r="BI833" s="109"/>
      <c r="BJ833" s="109"/>
      <c r="BK833" s="109"/>
      <c r="BL833" s="109"/>
      <c r="BM833" s="109"/>
      <c r="BN833" s="109"/>
      <c r="BO833" s="109"/>
      <c r="BP833" s="109"/>
      <c r="BQ833" s="109"/>
      <c r="BR833" s="109"/>
      <c r="BS833" s="109"/>
      <c r="BT833" s="109"/>
      <c r="BU833" s="109"/>
    </row>
    <row r="834" ht="15.75" customHeight="1">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10"/>
      <c r="X834" s="109"/>
      <c r="Y834" s="109"/>
      <c r="Z834" s="109"/>
      <c r="AA834" s="109"/>
      <c r="AB834" s="109"/>
      <c r="AC834" s="109"/>
      <c r="AD834" s="109"/>
      <c r="AE834" s="109"/>
      <c r="AF834" s="109"/>
      <c r="AG834" s="109"/>
      <c r="AH834" s="109"/>
      <c r="AI834" s="109"/>
      <c r="AJ834" s="109"/>
      <c r="AK834" s="109"/>
      <c r="AL834" s="109"/>
      <c r="AM834" s="109"/>
      <c r="AN834" s="109"/>
      <c r="AO834" s="109"/>
      <c r="AP834" s="109"/>
      <c r="AQ834" s="109"/>
      <c r="AR834" s="109"/>
      <c r="AS834" s="109"/>
      <c r="AT834" s="109"/>
      <c r="AU834" s="109"/>
      <c r="AV834" s="109"/>
      <c r="AW834" s="109"/>
      <c r="AX834" s="109"/>
      <c r="AY834" s="109"/>
      <c r="AZ834" s="109"/>
      <c r="BA834" s="109"/>
      <c r="BB834" s="109"/>
      <c r="BC834" s="109"/>
      <c r="BD834" s="109"/>
      <c r="BE834" s="109"/>
      <c r="BF834" s="109"/>
      <c r="BG834" s="109"/>
      <c r="BH834" s="109"/>
      <c r="BI834" s="109"/>
      <c r="BJ834" s="109"/>
      <c r="BK834" s="109"/>
      <c r="BL834" s="109"/>
      <c r="BM834" s="109"/>
      <c r="BN834" s="109"/>
      <c r="BO834" s="109"/>
      <c r="BP834" s="109"/>
      <c r="BQ834" s="109"/>
      <c r="BR834" s="109"/>
      <c r="BS834" s="109"/>
      <c r="BT834" s="109"/>
      <c r="BU834" s="109"/>
    </row>
    <row r="835" ht="15.75" customHeight="1">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10"/>
      <c r="X835" s="109"/>
      <c r="Y835" s="109"/>
      <c r="Z835" s="109"/>
      <c r="AA835" s="109"/>
      <c r="AB835" s="109"/>
      <c r="AC835" s="109"/>
      <c r="AD835" s="109"/>
      <c r="AE835" s="109"/>
      <c r="AF835" s="109"/>
      <c r="AG835" s="109"/>
      <c r="AH835" s="109"/>
      <c r="AI835" s="109"/>
      <c r="AJ835" s="109"/>
      <c r="AK835" s="109"/>
      <c r="AL835" s="109"/>
      <c r="AM835" s="109"/>
      <c r="AN835" s="109"/>
      <c r="AO835" s="109"/>
      <c r="AP835" s="109"/>
      <c r="AQ835" s="109"/>
      <c r="AR835" s="109"/>
      <c r="AS835" s="109"/>
      <c r="AT835" s="109"/>
      <c r="AU835" s="109"/>
      <c r="AV835" s="109"/>
      <c r="AW835" s="109"/>
      <c r="AX835" s="109"/>
      <c r="AY835" s="109"/>
      <c r="AZ835" s="109"/>
      <c r="BA835" s="109"/>
      <c r="BB835" s="109"/>
      <c r="BC835" s="109"/>
      <c r="BD835" s="109"/>
      <c r="BE835" s="109"/>
      <c r="BF835" s="109"/>
      <c r="BG835" s="109"/>
      <c r="BH835" s="109"/>
      <c r="BI835" s="109"/>
      <c r="BJ835" s="109"/>
      <c r="BK835" s="109"/>
      <c r="BL835" s="109"/>
      <c r="BM835" s="109"/>
      <c r="BN835" s="109"/>
      <c r="BO835" s="109"/>
      <c r="BP835" s="109"/>
      <c r="BQ835" s="109"/>
      <c r="BR835" s="109"/>
      <c r="BS835" s="109"/>
      <c r="BT835" s="109"/>
      <c r="BU835" s="109"/>
    </row>
    <row r="836" ht="15.75" customHeight="1">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10"/>
      <c r="X836" s="109"/>
      <c r="Y836" s="109"/>
      <c r="Z836" s="109"/>
      <c r="AA836" s="109"/>
      <c r="AB836" s="109"/>
      <c r="AC836" s="109"/>
      <c r="AD836" s="109"/>
      <c r="AE836" s="109"/>
      <c r="AF836" s="109"/>
      <c r="AG836" s="109"/>
      <c r="AH836" s="109"/>
      <c r="AI836" s="109"/>
      <c r="AJ836" s="109"/>
      <c r="AK836" s="109"/>
      <c r="AL836" s="109"/>
      <c r="AM836" s="109"/>
      <c r="AN836" s="109"/>
      <c r="AO836" s="109"/>
      <c r="AP836" s="109"/>
      <c r="AQ836" s="109"/>
      <c r="AR836" s="109"/>
      <c r="AS836" s="109"/>
      <c r="AT836" s="109"/>
      <c r="AU836" s="109"/>
      <c r="AV836" s="109"/>
      <c r="AW836" s="109"/>
      <c r="AX836" s="109"/>
      <c r="AY836" s="109"/>
      <c r="AZ836" s="109"/>
      <c r="BA836" s="109"/>
      <c r="BB836" s="109"/>
      <c r="BC836" s="109"/>
      <c r="BD836" s="109"/>
      <c r="BE836" s="109"/>
      <c r="BF836" s="109"/>
      <c r="BG836" s="109"/>
      <c r="BH836" s="109"/>
      <c r="BI836" s="109"/>
      <c r="BJ836" s="109"/>
      <c r="BK836" s="109"/>
      <c r="BL836" s="109"/>
      <c r="BM836" s="109"/>
      <c r="BN836" s="109"/>
      <c r="BO836" s="109"/>
      <c r="BP836" s="109"/>
      <c r="BQ836" s="109"/>
      <c r="BR836" s="109"/>
      <c r="BS836" s="109"/>
      <c r="BT836" s="109"/>
      <c r="BU836" s="109"/>
    </row>
    <row r="837" ht="15.75" customHeight="1">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10"/>
      <c r="X837" s="109"/>
      <c r="Y837" s="109"/>
      <c r="Z837" s="109"/>
      <c r="AA837" s="109"/>
      <c r="AB837" s="109"/>
      <c r="AC837" s="109"/>
      <c r="AD837" s="109"/>
      <c r="AE837" s="109"/>
      <c r="AF837" s="109"/>
      <c r="AG837" s="109"/>
      <c r="AH837" s="109"/>
      <c r="AI837" s="109"/>
      <c r="AJ837" s="109"/>
      <c r="AK837" s="109"/>
      <c r="AL837" s="109"/>
      <c r="AM837" s="109"/>
      <c r="AN837" s="109"/>
      <c r="AO837" s="109"/>
      <c r="AP837" s="109"/>
      <c r="AQ837" s="109"/>
      <c r="AR837" s="109"/>
      <c r="AS837" s="109"/>
      <c r="AT837" s="109"/>
      <c r="AU837" s="109"/>
      <c r="AV837" s="109"/>
      <c r="AW837" s="109"/>
      <c r="AX837" s="109"/>
      <c r="AY837" s="109"/>
      <c r="AZ837" s="109"/>
      <c r="BA837" s="109"/>
      <c r="BB837" s="109"/>
      <c r="BC837" s="109"/>
      <c r="BD837" s="109"/>
      <c r="BE837" s="109"/>
      <c r="BF837" s="109"/>
      <c r="BG837" s="109"/>
      <c r="BH837" s="109"/>
      <c r="BI837" s="109"/>
      <c r="BJ837" s="109"/>
      <c r="BK837" s="109"/>
      <c r="BL837" s="109"/>
      <c r="BM837" s="109"/>
      <c r="BN837" s="109"/>
      <c r="BO837" s="109"/>
      <c r="BP837" s="109"/>
      <c r="BQ837" s="109"/>
      <c r="BR837" s="109"/>
      <c r="BS837" s="109"/>
      <c r="BT837" s="109"/>
      <c r="BU837" s="109"/>
    </row>
    <row r="838" ht="15.75" customHeight="1">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10"/>
      <c r="X838" s="109"/>
      <c r="Y838" s="109"/>
      <c r="Z838" s="109"/>
      <c r="AA838" s="109"/>
      <c r="AB838" s="109"/>
      <c r="AC838" s="109"/>
      <c r="AD838" s="109"/>
      <c r="AE838" s="109"/>
      <c r="AF838" s="109"/>
      <c r="AG838" s="109"/>
      <c r="AH838" s="109"/>
      <c r="AI838" s="109"/>
      <c r="AJ838" s="109"/>
      <c r="AK838" s="109"/>
      <c r="AL838" s="109"/>
      <c r="AM838" s="109"/>
      <c r="AN838" s="109"/>
      <c r="AO838" s="109"/>
      <c r="AP838" s="109"/>
      <c r="AQ838" s="109"/>
      <c r="AR838" s="109"/>
      <c r="AS838" s="109"/>
      <c r="AT838" s="109"/>
      <c r="AU838" s="109"/>
      <c r="AV838" s="109"/>
      <c r="AW838" s="109"/>
      <c r="AX838" s="109"/>
      <c r="AY838" s="109"/>
      <c r="AZ838" s="109"/>
      <c r="BA838" s="109"/>
      <c r="BB838" s="109"/>
      <c r="BC838" s="109"/>
      <c r="BD838" s="109"/>
      <c r="BE838" s="109"/>
      <c r="BF838" s="109"/>
      <c r="BG838" s="109"/>
      <c r="BH838" s="109"/>
      <c r="BI838" s="109"/>
      <c r="BJ838" s="109"/>
      <c r="BK838" s="109"/>
      <c r="BL838" s="109"/>
      <c r="BM838" s="109"/>
      <c r="BN838" s="109"/>
      <c r="BO838" s="109"/>
      <c r="BP838" s="109"/>
      <c r="BQ838" s="109"/>
      <c r="BR838" s="109"/>
      <c r="BS838" s="109"/>
      <c r="BT838" s="109"/>
      <c r="BU838" s="109"/>
    </row>
    <row r="839" ht="15.75" customHeight="1">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10"/>
      <c r="X839" s="109"/>
      <c r="Y839" s="109"/>
      <c r="Z839" s="109"/>
      <c r="AA839" s="109"/>
      <c r="AB839" s="109"/>
      <c r="AC839" s="109"/>
      <c r="AD839" s="109"/>
      <c r="AE839" s="109"/>
      <c r="AF839" s="109"/>
      <c r="AG839" s="109"/>
      <c r="AH839" s="109"/>
      <c r="AI839" s="109"/>
      <c r="AJ839" s="109"/>
      <c r="AK839" s="109"/>
      <c r="AL839" s="109"/>
      <c r="AM839" s="109"/>
      <c r="AN839" s="109"/>
      <c r="AO839" s="109"/>
      <c r="AP839" s="109"/>
      <c r="AQ839" s="109"/>
      <c r="AR839" s="109"/>
      <c r="AS839" s="109"/>
      <c r="AT839" s="109"/>
      <c r="AU839" s="109"/>
      <c r="AV839" s="109"/>
      <c r="AW839" s="109"/>
      <c r="AX839" s="109"/>
      <c r="AY839" s="109"/>
      <c r="AZ839" s="109"/>
      <c r="BA839" s="109"/>
      <c r="BB839" s="109"/>
      <c r="BC839" s="109"/>
      <c r="BD839" s="109"/>
      <c r="BE839" s="109"/>
      <c r="BF839" s="109"/>
      <c r="BG839" s="109"/>
      <c r="BH839" s="109"/>
      <c r="BI839" s="109"/>
      <c r="BJ839" s="109"/>
      <c r="BK839" s="109"/>
      <c r="BL839" s="109"/>
      <c r="BM839" s="109"/>
      <c r="BN839" s="109"/>
      <c r="BO839" s="109"/>
      <c r="BP839" s="109"/>
      <c r="BQ839" s="109"/>
      <c r="BR839" s="109"/>
      <c r="BS839" s="109"/>
      <c r="BT839" s="109"/>
      <c r="BU839" s="109"/>
    </row>
    <row r="840" ht="15.75" customHeight="1">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10"/>
      <c r="X840" s="109"/>
      <c r="Y840" s="109"/>
      <c r="Z840" s="109"/>
      <c r="AA840" s="109"/>
      <c r="AB840" s="109"/>
      <c r="AC840" s="109"/>
      <c r="AD840" s="109"/>
      <c r="AE840" s="109"/>
      <c r="AF840" s="109"/>
      <c r="AG840" s="109"/>
      <c r="AH840" s="109"/>
      <c r="AI840" s="109"/>
      <c r="AJ840" s="109"/>
      <c r="AK840" s="109"/>
      <c r="AL840" s="109"/>
      <c r="AM840" s="109"/>
      <c r="AN840" s="109"/>
      <c r="AO840" s="109"/>
      <c r="AP840" s="109"/>
      <c r="AQ840" s="109"/>
      <c r="AR840" s="109"/>
      <c r="AS840" s="109"/>
      <c r="AT840" s="109"/>
      <c r="AU840" s="109"/>
      <c r="AV840" s="109"/>
      <c r="AW840" s="109"/>
      <c r="AX840" s="109"/>
      <c r="AY840" s="109"/>
      <c r="AZ840" s="109"/>
      <c r="BA840" s="109"/>
      <c r="BB840" s="109"/>
      <c r="BC840" s="109"/>
      <c r="BD840" s="109"/>
      <c r="BE840" s="109"/>
      <c r="BF840" s="109"/>
      <c r="BG840" s="109"/>
      <c r="BH840" s="109"/>
      <c r="BI840" s="109"/>
      <c r="BJ840" s="109"/>
      <c r="BK840" s="109"/>
      <c r="BL840" s="109"/>
      <c r="BM840" s="109"/>
      <c r="BN840" s="109"/>
      <c r="BO840" s="109"/>
      <c r="BP840" s="109"/>
      <c r="BQ840" s="109"/>
      <c r="BR840" s="109"/>
      <c r="BS840" s="109"/>
      <c r="BT840" s="109"/>
      <c r="BU840" s="109"/>
    </row>
    <row r="841" ht="15.75" customHeight="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10"/>
      <c r="X841" s="109"/>
      <c r="Y841" s="109"/>
      <c r="Z841" s="109"/>
      <c r="AA841" s="109"/>
      <c r="AB841" s="109"/>
      <c r="AC841" s="109"/>
      <c r="AD841" s="109"/>
      <c r="AE841" s="109"/>
      <c r="AF841" s="109"/>
      <c r="AG841" s="109"/>
      <c r="AH841" s="109"/>
      <c r="AI841" s="109"/>
      <c r="AJ841" s="109"/>
      <c r="AK841" s="109"/>
      <c r="AL841" s="109"/>
      <c r="AM841" s="109"/>
      <c r="AN841" s="109"/>
      <c r="AO841" s="109"/>
      <c r="AP841" s="109"/>
      <c r="AQ841" s="109"/>
      <c r="AR841" s="109"/>
      <c r="AS841" s="109"/>
      <c r="AT841" s="109"/>
      <c r="AU841" s="109"/>
      <c r="AV841" s="109"/>
      <c r="AW841" s="109"/>
      <c r="AX841" s="109"/>
      <c r="AY841" s="109"/>
      <c r="AZ841" s="109"/>
      <c r="BA841" s="109"/>
      <c r="BB841" s="109"/>
      <c r="BC841" s="109"/>
      <c r="BD841" s="109"/>
      <c r="BE841" s="109"/>
      <c r="BF841" s="109"/>
      <c r="BG841" s="109"/>
      <c r="BH841" s="109"/>
      <c r="BI841" s="109"/>
      <c r="BJ841" s="109"/>
      <c r="BK841" s="109"/>
      <c r="BL841" s="109"/>
      <c r="BM841" s="109"/>
      <c r="BN841" s="109"/>
      <c r="BO841" s="109"/>
      <c r="BP841" s="109"/>
      <c r="BQ841" s="109"/>
      <c r="BR841" s="109"/>
      <c r="BS841" s="109"/>
      <c r="BT841" s="109"/>
      <c r="BU841" s="109"/>
    </row>
    <row r="842" ht="15.75" customHeight="1">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10"/>
      <c r="X842" s="109"/>
      <c r="Y842" s="109"/>
      <c r="Z842" s="109"/>
      <c r="AA842" s="109"/>
      <c r="AB842" s="109"/>
      <c r="AC842" s="109"/>
      <c r="AD842" s="109"/>
      <c r="AE842" s="109"/>
      <c r="AF842" s="109"/>
      <c r="AG842" s="109"/>
      <c r="AH842" s="109"/>
      <c r="AI842" s="109"/>
      <c r="AJ842" s="109"/>
      <c r="AK842" s="109"/>
      <c r="AL842" s="109"/>
      <c r="AM842" s="109"/>
      <c r="AN842" s="109"/>
      <c r="AO842" s="109"/>
      <c r="AP842" s="109"/>
      <c r="AQ842" s="109"/>
      <c r="AR842" s="109"/>
      <c r="AS842" s="109"/>
      <c r="AT842" s="109"/>
      <c r="AU842" s="109"/>
      <c r="AV842" s="109"/>
      <c r="AW842" s="109"/>
      <c r="AX842" s="109"/>
      <c r="AY842" s="109"/>
      <c r="AZ842" s="109"/>
      <c r="BA842" s="109"/>
      <c r="BB842" s="109"/>
      <c r="BC842" s="109"/>
      <c r="BD842" s="109"/>
      <c r="BE842" s="109"/>
      <c r="BF842" s="109"/>
      <c r="BG842" s="109"/>
      <c r="BH842" s="109"/>
      <c r="BI842" s="109"/>
      <c r="BJ842" s="109"/>
      <c r="BK842" s="109"/>
      <c r="BL842" s="109"/>
      <c r="BM842" s="109"/>
      <c r="BN842" s="109"/>
      <c r="BO842" s="109"/>
      <c r="BP842" s="109"/>
      <c r="BQ842" s="109"/>
      <c r="BR842" s="109"/>
      <c r="BS842" s="109"/>
      <c r="BT842" s="109"/>
      <c r="BU842" s="109"/>
    </row>
    <row r="843" ht="15.75" customHeight="1">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10"/>
      <c r="X843" s="109"/>
      <c r="Y843" s="109"/>
      <c r="Z843" s="109"/>
      <c r="AA843" s="109"/>
      <c r="AB843" s="109"/>
      <c r="AC843" s="109"/>
      <c r="AD843" s="109"/>
      <c r="AE843" s="109"/>
      <c r="AF843" s="109"/>
      <c r="AG843" s="109"/>
      <c r="AH843" s="109"/>
      <c r="AI843" s="109"/>
      <c r="AJ843" s="109"/>
      <c r="AK843" s="109"/>
      <c r="AL843" s="109"/>
      <c r="AM843" s="109"/>
      <c r="AN843" s="109"/>
      <c r="AO843" s="109"/>
      <c r="AP843" s="109"/>
      <c r="AQ843" s="109"/>
      <c r="AR843" s="109"/>
      <c r="AS843" s="109"/>
      <c r="AT843" s="109"/>
      <c r="AU843" s="109"/>
      <c r="AV843" s="109"/>
      <c r="AW843" s="109"/>
      <c r="AX843" s="109"/>
      <c r="AY843" s="109"/>
      <c r="AZ843" s="109"/>
      <c r="BA843" s="109"/>
      <c r="BB843" s="109"/>
      <c r="BC843" s="109"/>
      <c r="BD843" s="109"/>
      <c r="BE843" s="109"/>
      <c r="BF843" s="109"/>
      <c r="BG843" s="109"/>
      <c r="BH843" s="109"/>
      <c r="BI843" s="109"/>
      <c r="BJ843" s="109"/>
      <c r="BK843" s="109"/>
      <c r="BL843" s="109"/>
      <c r="BM843" s="109"/>
      <c r="BN843" s="109"/>
      <c r="BO843" s="109"/>
      <c r="BP843" s="109"/>
      <c r="BQ843" s="109"/>
      <c r="BR843" s="109"/>
      <c r="BS843" s="109"/>
      <c r="BT843" s="109"/>
      <c r="BU843" s="109"/>
    </row>
    <row r="844" ht="15.75" customHeight="1">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10"/>
      <c r="X844" s="109"/>
      <c r="Y844" s="109"/>
      <c r="Z844" s="109"/>
      <c r="AA844" s="109"/>
      <c r="AB844" s="109"/>
      <c r="AC844" s="109"/>
      <c r="AD844" s="109"/>
      <c r="AE844" s="109"/>
      <c r="AF844" s="109"/>
      <c r="AG844" s="109"/>
      <c r="AH844" s="109"/>
      <c r="AI844" s="109"/>
      <c r="AJ844" s="109"/>
      <c r="AK844" s="109"/>
      <c r="AL844" s="109"/>
      <c r="AM844" s="109"/>
      <c r="AN844" s="109"/>
      <c r="AO844" s="109"/>
      <c r="AP844" s="109"/>
      <c r="AQ844" s="109"/>
      <c r="AR844" s="109"/>
      <c r="AS844" s="109"/>
      <c r="AT844" s="109"/>
      <c r="AU844" s="109"/>
      <c r="AV844" s="109"/>
      <c r="AW844" s="109"/>
      <c r="AX844" s="109"/>
      <c r="AY844" s="109"/>
      <c r="AZ844" s="109"/>
      <c r="BA844" s="109"/>
      <c r="BB844" s="109"/>
      <c r="BC844" s="109"/>
      <c r="BD844" s="109"/>
      <c r="BE844" s="109"/>
      <c r="BF844" s="109"/>
      <c r="BG844" s="109"/>
      <c r="BH844" s="109"/>
      <c r="BI844" s="109"/>
      <c r="BJ844" s="109"/>
      <c r="BK844" s="109"/>
      <c r="BL844" s="109"/>
      <c r="BM844" s="109"/>
      <c r="BN844" s="109"/>
      <c r="BO844" s="109"/>
      <c r="BP844" s="109"/>
      <c r="BQ844" s="109"/>
      <c r="BR844" s="109"/>
      <c r="BS844" s="109"/>
      <c r="BT844" s="109"/>
      <c r="BU844" s="109"/>
    </row>
    <row r="845" ht="15.75" customHeight="1">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10"/>
      <c r="X845" s="109"/>
      <c r="Y845" s="109"/>
      <c r="Z845" s="109"/>
      <c r="AA845" s="109"/>
      <c r="AB845" s="109"/>
      <c r="AC845" s="109"/>
      <c r="AD845" s="109"/>
      <c r="AE845" s="109"/>
      <c r="AF845" s="109"/>
      <c r="AG845" s="109"/>
      <c r="AH845" s="109"/>
      <c r="AI845" s="109"/>
      <c r="AJ845" s="109"/>
      <c r="AK845" s="109"/>
      <c r="AL845" s="109"/>
      <c r="AM845" s="109"/>
      <c r="AN845" s="109"/>
      <c r="AO845" s="109"/>
      <c r="AP845" s="109"/>
      <c r="AQ845" s="109"/>
      <c r="AR845" s="109"/>
      <c r="AS845" s="109"/>
      <c r="AT845" s="109"/>
      <c r="AU845" s="109"/>
      <c r="AV845" s="109"/>
      <c r="AW845" s="109"/>
      <c r="AX845" s="109"/>
      <c r="AY845" s="109"/>
      <c r="AZ845" s="109"/>
      <c r="BA845" s="109"/>
      <c r="BB845" s="109"/>
      <c r="BC845" s="109"/>
      <c r="BD845" s="109"/>
      <c r="BE845" s="109"/>
      <c r="BF845" s="109"/>
      <c r="BG845" s="109"/>
      <c r="BH845" s="109"/>
      <c r="BI845" s="109"/>
      <c r="BJ845" s="109"/>
      <c r="BK845" s="109"/>
      <c r="BL845" s="109"/>
      <c r="BM845" s="109"/>
      <c r="BN845" s="109"/>
      <c r="BO845" s="109"/>
      <c r="BP845" s="109"/>
      <c r="BQ845" s="109"/>
      <c r="BR845" s="109"/>
      <c r="BS845" s="109"/>
      <c r="BT845" s="109"/>
      <c r="BU845" s="109"/>
    </row>
    <row r="846" ht="15.75" customHeight="1">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10"/>
      <c r="X846" s="109"/>
      <c r="Y846" s="109"/>
      <c r="Z846" s="109"/>
      <c r="AA846" s="109"/>
      <c r="AB846" s="109"/>
      <c r="AC846" s="109"/>
      <c r="AD846" s="109"/>
      <c r="AE846" s="109"/>
      <c r="AF846" s="109"/>
      <c r="AG846" s="109"/>
      <c r="AH846" s="109"/>
      <c r="AI846" s="109"/>
      <c r="AJ846" s="109"/>
      <c r="AK846" s="109"/>
      <c r="AL846" s="109"/>
      <c r="AM846" s="109"/>
      <c r="AN846" s="109"/>
      <c r="AO846" s="109"/>
      <c r="AP846" s="109"/>
      <c r="AQ846" s="109"/>
      <c r="AR846" s="109"/>
      <c r="AS846" s="109"/>
      <c r="AT846" s="109"/>
      <c r="AU846" s="109"/>
      <c r="AV846" s="109"/>
      <c r="AW846" s="109"/>
      <c r="AX846" s="109"/>
      <c r="AY846" s="109"/>
      <c r="AZ846" s="109"/>
      <c r="BA846" s="109"/>
      <c r="BB846" s="109"/>
      <c r="BC846" s="109"/>
      <c r="BD846" s="109"/>
      <c r="BE846" s="109"/>
      <c r="BF846" s="109"/>
      <c r="BG846" s="109"/>
      <c r="BH846" s="109"/>
      <c r="BI846" s="109"/>
      <c r="BJ846" s="109"/>
      <c r="BK846" s="109"/>
      <c r="BL846" s="109"/>
      <c r="BM846" s="109"/>
      <c r="BN846" s="109"/>
      <c r="BO846" s="109"/>
      <c r="BP846" s="109"/>
      <c r="BQ846" s="109"/>
      <c r="BR846" s="109"/>
      <c r="BS846" s="109"/>
      <c r="BT846" s="109"/>
      <c r="BU846" s="109"/>
    </row>
    <row r="847" ht="15.75" customHeight="1">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10"/>
      <c r="X847" s="109"/>
      <c r="Y847" s="109"/>
      <c r="Z847" s="109"/>
      <c r="AA847" s="109"/>
      <c r="AB847" s="109"/>
      <c r="AC847" s="109"/>
      <c r="AD847" s="109"/>
      <c r="AE847" s="109"/>
      <c r="AF847" s="109"/>
      <c r="AG847" s="109"/>
      <c r="AH847" s="109"/>
      <c r="AI847" s="109"/>
      <c r="AJ847" s="109"/>
      <c r="AK847" s="109"/>
      <c r="AL847" s="109"/>
      <c r="AM847" s="109"/>
      <c r="AN847" s="109"/>
      <c r="AO847" s="109"/>
      <c r="AP847" s="109"/>
      <c r="AQ847" s="109"/>
      <c r="AR847" s="109"/>
      <c r="AS847" s="109"/>
      <c r="AT847" s="109"/>
      <c r="AU847" s="109"/>
      <c r="AV847" s="109"/>
      <c r="AW847" s="109"/>
      <c r="AX847" s="109"/>
      <c r="AY847" s="109"/>
      <c r="AZ847" s="109"/>
      <c r="BA847" s="109"/>
      <c r="BB847" s="109"/>
      <c r="BC847" s="109"/>
      <c r="BD847" s="109"/>
      <c r="BE847" s="109"/>
      <c r="BF847" s="109"/>
      <c r="BG847" s="109"/>
      <c r="BH847" s="109"/>
      <c r="BI847" s="109"/>
      <c r="BJ847" s="109"/>
      <c r="BK847" s="109"/>
      <c r="BL847" s="109"/>
      <c r="BM847" s="109"/>
      <c r="BN847" s="109"/>
      <c r="BO847" s="109"/>
      <c r="BP847" s="109"/>
      <c r="BQ847" s="109"/>
      <c r="BR847" s="109"/>
      <c r="BS847" s="109"/>
      <c r="BT847" s="109"/>
      <c r="BU847" s="109"/>
    </row>
    <row r="848" ht="15.75" customHeight="1">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10"/>
      <c r="X848" s="109"/>
      <c r="Y848" s="109"/>
      <c r="Z848" s="109"/>
      <c r="AA848" s="109"/>
      <c r="AB848" s="109"/>
      <c r="AC848" s="109"/>
      <c r="AD848" s="109"/>
      <c r="AE848" s="109"/>
      <c r="AF848" s="109"/>
      <c r="AG848" s="109"/>
      <c r="AH848" s="109"/>
      <c r="AI848" s="109"/>
      <c r="AJ848" s="109"/>
      <c r="AK848" s="109"/>
      <c r="AL848" s="109"/>
      <c r="AM848" s="109"/>
      <c r="AN848" s="109"/>
      <c r="AO848" s="109"/>
      <c r="AP848" s="109"/>
      <c r="AQ848" s="109"/>
      <c r="AR848" s="109"/>
      <c r="AS848" s="109"/>
      <c r="AT848" s="109"/>
      <c r="AU848" s="109"/>
      <c r="AV848" s="109"/>
      <c r="AW848" s="109"/>
      <c r="AX848" s="109"/>
      <c r="AY848" s="109"/>
      <c r="AZ848" s="109"/>
      <c r="BA848" s="109"/>
      <c r="BB848" s="109"/>
      <c r="BC848" s="109"/>
      <c r="BD848" s="109"/>
      <c r="BE848" s="109"/>
      <c r="BF848" s="109"/>
      <c r="BG848" s="109"/>
      <c r="BH848" s="109"/>
      <c r="BI848" s="109"/>
      <c r="BJ848" s="109"/>
      <c r="BK848" s="109"/>
      <c r="BL848" s="109"/>
      <c r="BM848" s="109"/>
      <c r="BN848" s="109"/>
      <c r="BO848" s="109"/>
      <c r="BP848" s="109"/>
      <c r="BQ848" s="109"/>
      <c r="BR848" s="109"/>
      <c r="BS848" s="109"/>
      <c r="BT848" s="109"/>
      <c r="BU848" s="109"/>
    </row>
    <row r="849" ht="15.75" customHeight="1">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10"/>
      <c r="X849" s="109"/>
      <c r="Y849" s="109"/>
      <c r="Z849" s="109"/>
      <c r="AA849" s="109"/>
      <c r="AB849" s="109"/>
      <c r="AC849" s="109"/>
      <c r="AD849" s="109"/>
      <c r="AE849" s="109"/>
      <c r="AF849" s="109"/>
      <c r="AG849" s="109"/>
      <c r="AH849" s="109"/>
      <c r="AI849" s="109"/>
      <c r="AJ849" s="109"/>
      <c r="AK849" s="109"/>
      <c r="AL849" s="109"/>
      <c r="AM849" s="109"/>
      <c r="AN849" s="109"/>
      <c r="AO849" s="109"/>
      <c r="AP849" s="109"/>
      <c r="AQ849" s="109"/>
      <c r="AR849" s="109"/>
      <c r="AS849" s="109"/>
      <c r="AT849" s="109"/>
      <c r="AU849" s="109"/>
      <c r="AV849" s="109"/>
      <c r="AW849" s="109"/>
      <c r="AX849" s="109"/>
      <c r="AY849" s="109"/>
      <c r="AZ849" s="109"/>
      <c r="BA849" s="109"/>
      <c r="BB849" s="109"/>
      <c r="BC849" s="109"/>
      <c r="BD849" s="109"/>
      <c r="BE849" s="109"/>
      <c r="BF849" s="109"/>
      <c r="BG849" s="109"/>
      <c r="BH849" s="109"/>
      <c r="BI849" s="109"/>
      <c r="BJ849" s="109"/>
      <c r="BK849" s="109"/>
      <c r="BL849" s="109"/>
      <c r="BM849" s="109"/>
      <c r="BN849" s="109"/>
      <c r="BO849" s="109"/>
      <c r="BP849" s="109"/>
      <c r="BQ849" s="109"/>
      <c r="BR849" s="109"/>
      <c r="BS849" s="109"/>
      <c r="BT849" s="109"/>
      <c r="BU849" s="109"/>
    </row>
    <row r="850" ht="15.75" customHeight="1">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10"/>
      <c r="X850" s="109"/>
      <c r="Y850" s="109"/>
      <c r="Z850" s="109"/>
      <c r="AA850" s="109"/>
      <c r="AB850" s="109"/>
      <c r="AC850" s="109"/>
      <c r="AD850" s="109"/>
      <c r="AE850" s="109"/>
      <c r="AF850" s="109"/>
      <c r="AG850" s="109"/>
      <c r="AH850" s="109"/>
      <c r="AI850" s="109"/>
      <c r="AJ850" s="109"/>
      <c r="AK850" s="109"/>
      <c r="AL850" s="109"/>
      <c r="AM850" s="109"/>
      <c r="AN850" s="109"/>
      <c r="AO850" s="109"/>
      <c r="AP850" s="109"/>
      <c r="AQ850" s="109"/>
      <c r="AR850" s="109"/>
      <c r="AS850" s="109"/>
      <c r="AT850" s="109"/>
      <c r="AU850" s="109"/>
      <c r="AV850" s="109"/>
      <c r="AW850" s="109"/>
      <c r="AX850" s="109"/>
      <c r="AY850" s="109"/>
      <c r="AZ850" s="109"/>
      <c r="BA850" s="109"/>
      <c r="BB850" s="109"/>
      <c r="BC850" s="109"/>
      <c r="BD850" s="109"/>
      <c r="BE850" s="109"/>
      <c r="BF850" s="109"/>
      <c r="BG850" s="109"/>
      <c r="BH850" s="109"/>
      <c r="BI850" s="109"/>
      <c r="BJ850" s="109"/>
      <c r="BK850" s="109"/>
      <c r="BL850" s="109"/>
      <c r="BM850" s="109"/>
      <c r="BN850" s="109"/>
      <c r="BO850" s="109"/>
      <c r="BP850" s="109"/>
      <c r="BQ850" s="109"/>
      <c r="BR850" s="109"/>
      <c r="BS850" s="109"/>
      <c r="BT850" s="109"/>
      <c r="BU850" s="109"/>
    </row>
    <row r="851" ht="15.75" customHeight="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10"/>
      <c r="X851" s="109"/>
      <c r="Y851" s="109"/>
      <c r="Z851" s="109"/>
      <c r="AA851" s="109"/>
      <c r="AB851" s="109"/>
      <c r="AC851" s="109"/>
      <c r="AD851" s="109"/>
      <c r="AE851" s="109"/>
      <c r="AF851" s="109"/>
      <c r="AG851" s="109"/>
      <c r="AH851" s="109"/>
      <c r="AI851" s="109"/>
      <c r="AJ851" s="109"/>
      <c r="AK851" s="109"/>
      <c r="AL851" s="109"/>
      <c r="AM851" s="109"/>
      <c r="AN851" s="109"/>
      <c r="AO851" s="109"/>
      <c r="AP851" s="109"/>
      <c r="AQ851" s="109"/>
      <c r="AR851" s="109"/>
      <c r="AS851" s="109"/>
      <c r="AT851" s="109"/>
      <c r="AU851" s="109"/>
      <c r="AV851" s="109"/>
      <c r="AW851" s="109"/>
      <c r="AX851" s="109"/>
      <c r="AY851" s="109"/>
      <c r="AZ851" s="109"/>
      <c r="BA851" s="109"/>
      <c r="BB851" s="109"/>
      <c r="BC851" s="109"/>
      <c r="BD851" s="109"/>
      <c r="BE851" s="109"/>
      <c r="BF851" s="109"/>
      <c r="BG851" s="109"/>
      <c r="BH851" s="109"/>
      <c r="BI851" s="109"/>
      <c r="BJ851" s="109"/>
      <c r="BK851" s="109"/>
      <c r="BL851" s="109"/>
      <c r="BM851" s="109"/>
      <c r="BN851" s="109"/>
      <c r="BO851" s="109"/>
      <c r="BP851" s="109"/>
      <c r="BQ851" s="109"/>
      <c r="BR851" s="109"/>
      <c r="BS851" s="109"/>
      <c r="BT851" s="109"/>
      <c r="BU851" s="109"/>
    </row>
    <row r="852" ht="15.75" customHeight="1">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10"/>
      <c r="X852" s="109"/>
      <c r="Y852" s="109"/>
      <c r="Z852" s="109"/>
      <c r="AA852" s="109"/>
      <c r="AB852" s="109"/>
      <c r="AC852" s="109"/>
      <c r="AD852" s="109"/>
      <c r="AE852" s="109"/>
      <c r="AF852" s="109"/>
      <c r="AG852" s="109"/>
      <c r="AH852" s="109"/>
      <c r="AI852" s="109"/>
      <c r="AJ852" s="109"/>
      <c r="AK852" s="109"/>
      <c r="AL852" s="109"/>
      <c r="AM852" s="109"/>
      <c r="AN852" s="109"/>
      <c r="AO852" s="109"/>
      <c r="AP852" s="109"/>
      <c r="AQ852" s="109"/>
      <c r="AR852" s="109"/>
      <c r="AS852" s="109"/>
      <c r="AT852" s="109"/>
      <c r="AU852" s="109"/>
      <c r="AV852" s="109"/>
      <c r="AW852" s="109"/>
      <c r="AX852" s="109"/>
      <c r="AY852" s="109"/>
      <c r="AZ852" s="109"/>
      <c r="BA852" s="109"/>
      <c r="BB852" s="109"/>
      <c r="BC852" s="109"/>
      <c r="BD852" s="109"/>
      <c r="BE852" s="109"/>
      <c r="BF852" s="109"/>
      <c r="BG852" s="109"/>
      <c r="BH852" s="109"/>
      <c r="BI852" s="109"/>
      <c r="BJ852" s="109"/>
      <c r="BK852" s="109"/>
      <c r="BL852" s="109"/>
      <c r="BM852" s="109"/>
      <c r="BN852" s="109"/>
      <c r="BO852" s="109"/>
      <c r="BP852" s="109"/>
      <c r="BQ852" s="109"/>
      <c r="BR852" s="109"/>
      <c r="BS852" s="109"/>
      <c r="BT852" s="109"/>
      <c r="BU852" s="109"/>
    </row>
    <row r="853" ht="15.75" customHeight="1">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10"/>
      <c r="X853" s="109"/>
      <c r="Y853" s="109"/>
      <c r="Z853" s="109"/>
      <c r="AA853" s="109"/>
      <c r="AB853" s="109"/>
      <c r="AC853" s="109"/>
      <c r="AD853" s="109"/>
      <c r="AE853" s="109"/>
      <c r="AF853" s="109"/>
      <c r="AG853" s="109"/>
      <c r="AH853" s="109"/>
      <c r="AI853" s="109"/>
      <c r="AJ853" s="109"/>
      <c r="AK853" s="109"/>
      <c r="AL853" s="109"/>
      <c r="AM853" s="109"/>
      <c r="AN853" s="109"/>
      <c r="AO853" s="109"/>
      <c r="AP853" s="109"/>
      <c r="AQ853" s="109"/>
      <c r="AR853" s="109"/>
      <c r="AS853" s="109"/>
      <c r="AT853" s="109"/>
      <c r="AU853" s="109"/>
      <c r="AV853" s="109"/>
      <c r="AW853" s="109"/>
      <c r="AX853" s="109"/>
      <c r="AY853" s="109"/>
      <c r="AZ853" s="109"/>
      <c r="BA853" s="109"/>
      <c r="BB853" s="109"/>
      <c r="BC853" s="109"/>
      <c r="BD853" s="109"/>
      <c r="BE853" s="109"/>
      <c r="BF853" s="109"/>
      <c r="BG853" s="109"/>
      <c r="BH853" s="109"/>
      <c r="BI853" s="109"/>
      <c r="BJ853" s="109"/>
      <c r="BK853" s="109"/>
      <c r="BL853" s="109"/>
      <c r="BM853" s="109"/>
      <c r="BN853" s="109"/>
      <c r="BO853" s="109"/>
      <c r="BP853" s="109"/>
      <c r="BQ853" s="109"/>
      <c r="BR853" s="109"/>
      <c r="BS853" s="109"/>
      <c r="BT853" s="109"/>
      <c r="BU853" s="109"/>
    </row>
    <row r="854" ht="15.75" customHeight="1">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10"/>
      <c r="X854" s="109"/>
      <c r="Y854" s="109"/>
      <c r="Z854" s="109"/>
      <c r="AA854" s="109"/>
      <c r="AB854" s="109"/>
      <c r="AC854" s="109"/>
      <c r="AD854" s="109"/>
      <c r="AE854" s="109"/>
      <c r="AF854" s="109"/>
      <c r="AG854" s="109"/>
      <c r="AH854" s="109"/>
      <c r="AI854" s="109"/>
      <c r="AJ854" s="109"/>
      <c r="AK854" s="109"/>
      <c r="AL854" s="109"/>
      <c r="AM854" s="109"/>
      <c r="AN854" s="109"/>
      <c r="AO854" s="109"/>
      <c r="AP854" s="109"/>
      <c r="AQ854" s="109"/>
      <c r="AR854" s="109"/>
      <c r="AS854" s="109"/>
      <c r="AT854" s="109"/>
      <c r="AU854" s="109"/>
      <c r="AV854" s="109"/>
      <c r="AW854" s="109"/>
      <c r="AX854" s="109"/>
      <c r="AY854" s="109"/>
      <c r="AZ854" s="109"/>
      <c r="BA854" s="109"/>
      <c r="BB854" s="109"/>
      <c r="BC854" s="109"/>
      <c r="BD854" s="109"/>
      <c r="BE854" s="109"/>
      <c r="BF854" s="109"/>
      <c r="BG854" s="109"/>
      <c r="BH854" s="109"/>
      <c r="BI854" s="109"/>
      <c r="BJ854" s="109"/>
      <c r="BK854" s="109"/>
      <c r="BL854" s="109"/>
      <c r="BM854" s="109"/>
      <c r="BN854" s="109"/>
      <c r="BO854" s="109"/>
      <c r="BP854" s="109"/>
      <c r="BQ854" s="109"/>
      <c r="BR854" s="109"/>
      <c r="BS854" s="109"/>
      <c r="BT854" s="109"/>
      <c r="BU854" s="109"/>
    </row>
    <row r="855" ht="15.75" customHeight="1">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10"/>
      <c r="X855" s="109"/>
      <c r="Y855" s="109"/>
      <c r="Z855" s="109"/>
      <c r="AA855" s="109"/>
      <c r="AB855" s="109"/>
      <c r="AC855" s="109"/>
      <c r="AD855" s="109"/>
      <c r="AE855" s="109"/>
      <c r="AF855" s="109"/>
      <c r="AG855" s="109"/>
      <c r="AH855" s="109"/>
      <c r="AI855" s="109"/>
      <c r="AJ855" s="109"/>
      <c r="AK855" s="109"/>
      <c r="AL855" s="109"/>
      <c r="AM855" s="109"/>
      <c r="AN855" s="109"/>
      <c r="AO855" s="109"/>
      <c r="AP855" s="109"/>
      <c r="AQ855" s="109"/>
      <c r="AR855" s="109"/>
      <c r="AS855" s="109"/>
      <c r="AT855" s="109"/>
      <c r="AU855" s="109"/>
      <c r="AV855" s="109"/>
      <c r="AW855" s="109"/>
      <c r="AX855" s="109"/>
      <c r="AY855" s="109"/>
      <c r="AZ855" s="109"/>
      <c r="BA855" s="109"/>
      <c r="BB855" s="109"/>
      <c r="BC855" s="109"/>
      <c r="BD855" s="109"/>
      <c r="BE855" s="109"/>
      <c r="BF855" s="109"/>
      <c r="BG855" s="109"/>
      <c r="BH855" s="109"/>
      <c r="BI855" s="109"/>
      <c r="BJ855" s="109"/>
      <c r="BK855" s="109"/>
      <c r="BL855" s="109"/>
      <c r="BM855" s="109"/>
      <c r="BN855" s="109"/>
      <c r="BO855" s="109"/>
      <c r="BP855" s="109"/>
      <c r="BQ855" s="109"/>
      <c r="BR855" s="109"/>
      <c r="BS855" s="109"/>
      <c r="BT855" s="109"/>
      <c r="BU855" s="109"/>
    </row>
    <row r="856" ht="15.75" customHeight="1">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10"/>
      <c r="X856" s="109"/>
      <c r="Y856" s="109"/>
      <c r="Z856" s="109"/>
      <c r="AA856" s="109"/>
      <c r="AB856" s="109"/>
      <c r="AC856" s="109"/>
      <c r="AD856" s="109"/>
      <c r="AE856" s="109"/>
      <c r="AF856" s="109"/>
      <c r="AG856" s="109"/>
      <c r="AH856" s="109"/>
      <c r="AI856" s="109"/>
      <c r="AJ856" s="109"/>
      <c r="AK856" s="109"/>
      <c r="AL856" s="109"/>
      <c r="AM856" s="109"/>
      <c r="AN856" s="109"/>
      <c r="AO856" s="109"/>
      <c r="AP856" s="109"/>
      <c r="AQ856" s="109"/>
      <c r="AR856" s="109"/>
      <c r="AS856" s="109"/>
      <c r="AT856" s="109"/>
      <c r="AU856" s="109"/>
      <c r="AV856" s="109"/>
      <c r="AW856" s="109"/>
      <c r="AX856" s="109"/>
      <c r="AY856" s="109"/>
      <c r="AZ856" s="109"/>
      <c r="BA856" s="109"/>
      <c r="BB856" s="109"/>
      <c r="BC856" s="109"/>
      <c r="BD856" s="109"/>
      <c r="BE856" s="109"/>
      <c r="BF856" s="109"/>
      <c r="BG856" s="109"/>
      <c r="BH856" s="109"/>
      <c r="BI856" s="109"/>
      <c r="BJ856" s="109"/>
      <c r="BK856" s="109"/>
      <c r="BL856" s="109"/>
      <c r="BM856" s="109"/>
      <c r="BN856" s="109"/>
      <c r="BO856" s="109"/>
      <c r="BP856" s="109"/>
      <c r="BQ856" s="109"/>
      <c r="BR856" s="109"/>
      <c r="BS856" s="109"/>
      <c r="BT856" s="109"/>
      <c r="BU856" s="109"/>
    </row>
    <row r="857" ht="15.75" customHeight="1">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10"/>
      <c r="X857" s="109"/>
      <c r="Y857" s="109"/>
      <c r="Z857" s="109"/>
      <c r="AA857" s="109"/>
      <c r="AB857" s="109"/>
      <c r="AC857" s="109"/>
      <c r="AD857" s="109"/>
      <c r="AE857" s="109"/>
      <c r="AF857" s="109"/>
      <c r="AG857" s="109"/>
      <c r="AH857" s="109"/>
      <c r="AI857" s="109"/>
      <c r="AJ857" s="109"/>
      <c r="AK857" s="109"/>
      <c r="AL857" s="109"/>
      <c r="AM857" s="109"/>
      <c r="AN857" s="109"/>
      <c r="AO857" s="109"/>
      <c r="AP857" s="109"/>
      <c r="AQ857" s="109"/>
      <c r="AR857" s="109"/>
      <c r="AS857" s="109"/>
      <c r="AT857" s="109"/>
      <c r="AU857" s="109"/>
      <c r="AV857" s="109"/>
      <c r="AW857" s="109"/>
      <c r="AX857" s="109"/>
      <c r="AY857" s="109"/>
      <c r="AZ857" s="109"/>
      <c r="BA857" s="109"/>
      <c r="BB857" s="109"/>
      <c r="BC857" s="109"/>
      <c r="BD857" s="109"/>
      <c r="BE857" s="109"/>
      <c r="BF857" s="109"/>
      <c r="BG857" s="109"/>
      <c r="BH857" s="109"/>
      <c r="BI857" s="109"/>
      <c r="BJ857" s="109"/>
      <c r="BK857" s="109"/>
      <c r="BL857" s="109"/>
      <c r="BM857" s="109"/>
      <c r="BN857" s="109"/>
      <c r="BO857" s="109"/>
      <c r="BP857" s="109"/>
      <c r="BQ857" s="109"/>
      <c r="BR857" s="109"/>
      <c r="BS857" s="109"/>
      <c r="BT857" s="109"/>
      <c r="BU857" s="109"/>
    </row>
    <row r="858" ht="15.75" customHeight="1">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10"/>
      <c r="X858" s="109"/>
      <c r="Y858" s="109"/>
      <c r="Z858" s="109"/>
      <c r="AA858" s="109"/>
      <c r="AB858" s="109"/>
      <c r="AC858" s="109"/>
      <c r="AD858" s="109"/>
      <c r="AE858" s="109"/>
      <c r="AF858" s="109"/>
      <c r="AG858" s="109"/>
      <c r="AH858" s="109"/>
      <c r="AI858" s="109"/>
      <c r="AJ858" s="109"/>
      <c r="AK858" s="109"/>
      <c r="AL858" s="109"/>
      <c r="AM858" s="109"/>
      <c r="AN858" s="109"/>
      <c r="AO858" s="109"/>
      <c r="AP858" s="109"/>
      <c r="AQ858" s="109"/>
      <c r="AR858" s="109"/>
      <c r="AS858" s="109"/>
      <c r="AT858" s="109"/>
      <c r="AU858" s="109"/>
      <c r="AV858" s="109"/>
      <c r="AW858" s="109"/>
      <c r="AX858" s="109"/>
      <c r="AY858" s="109"/>
      <c r="AZ858" s="109"/>
      <c r="BA858" s="109"/>
      <c r="BB858" s="109"/>
      <c r="BC858" s="109"/>
      <c r="BD858" s="109"/>
      <c r="BE858" s="109"/>
      <c r="BF858" s="109"/>
      <c r="BG858" s="109"/>
      <c r="BH858" s="109"/>
      <c r="BI858" s="109"/>
      <c r="BJ858" s="109"/>
      <c r="BK858" s="109"/>
      <c r="BL858" s="109"/>
      <c r="BM858" s="109"/>
      <c r="BN858" s="109"/>
      <c r="BO858" s="109"/>
      <c r="BP858" s="109"/>
      <c r="BQ858" s="109"/>
      <c r="BR858" s="109"/>
      <c r="BS858" s="109"/>
      <c r="BT858" s="109"/>
      <c r="BU858" s="109"/>
    </row>
    <row r="859" ht="15.75" customHeight="1">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10"/>
      <c r="X859" s="109"/>
      <c r="Y859" s="109"/>
      <c r="Z859" s="109"/>
      <c r="AA859" s="109"/>
      <c r="AB859" s="109"/>
      <c r="AC859" s="109"/>
      <c r="AD859" s="109"/>
      <c r="AE859" s="109"/>
      <c r="AF859" s="109"/>
      <c r="AG859" s="109"/>
      <c r="AH859" s="109"/>
      <c r="AI859" s="109"/>
      <c r="AJ859" s="109"/>
      <c r="AK859" s="109"/>
      <c r="AL859" s="109"/>
      <c r="AM859" s="109"/>
      <c r="AN859" s="109"/>
      <c r="AO859" s="109"/>
      <c r="AP859" s="109"/>
      <c r="AQ859" s="109"/>
      <c r="AR859" s="109"/>
      <c r="AS859" s="109"/>
      <c r="AT859" s="109"/>
      <c r="AU859" s="109"/>
      <c r="AV859" s="109"/>
      <c r="AW859" s="109"/>
      <c r="AX859" s="109"/>
      <c r="AY859" s="109"/>
      <c r="AZ859" s="109"/>
      <c r="BA859" s="109"/>
      <c r="BB859" s="109"/>
      <c r="BC859" s="109"/>
      <c r="BD859" s="109"/>
      <c r="BE859" s="109"/>
      <c r="BF859" s="109"/>
      <c r="BG859" s="109"/>
      <c r="BH859" s="109"/>
      <c r="BI859" s="109"/>
      <c r="BJ859" s="109"/>
      <c r="BK859" s="109"/>
      <c r="BL859" s="109"/>
      <c r="BM859" s="109"/>
      <c r="BN859" s="109"/>
      <c r="BO859" s="109"/>
      <c r="BP859" s="109"/>
      <c r="BQ859" s="109"/>
      <c r="BR859" s="109"/>
      <c r="BS859" s="109"/>
      <c r="BT859" s="109"/>
      <c r="BU859" s="109"/>
    </row>
    <row r="860" ht="15.75" customHeight="1">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10"/>
      <c r="X860" s="109"/>
      <c r="Y860" s="109"/>
      <c r="Z860" s="109"/>
      <c r="AA860" s="109"/>
      <c r="AB860" s="109"/>
      <c r="AC860" s="109"/>
      <c r="AD860" s="109"/>
      <c r="AE860" s="109"/>
      <c r="AF860" s="109"/>
      <c r="AG860" s="109"/>
      <c r="AH860" s="109"/>
      <c r="AI860" s="109"/>
      <c r="AJ860" s="109"/>
      <c r="AK860" s="109"/>
      <c r="AL860" s="109"/>
      <c r="AM860" s="109"/>
      <c r="AN860" s="109"/>
      <c r="AO860" s="109"/>
      <c r="AP860" s="109"/>
      <c r="AQ860" s="109"/>
      <c r="AR860" s="109"/>
      <c r="AS860" s="109"/>
      <c r="AT860" s="109"/>
      <c r="AU860" s="109"/>
      <c r="AV860" s="109"/>
      <c r="AW860" s="109"/>
      <c r="AX860" s="109"/>
      <c r="AY860" s="109"/>
      <c r="AZ860" s="109"/>
      <c r="BA860" s="109"/>
      <c r="BB860" s="109"/>
      <c r="BC860" s="109"/>
      <c r="BD860" s="109"/>
      <c r="BE860" s="109"/>
      <c r="BF860" s="109"/>
      <c r="BG860" s="109"/>
      <c r="BH860" s="109"/>
      <c r="BI860" s="109"/>
      <c r="BJ860" s="109"/>
      <c r="BK860" s="109"/>
      <c r="BL860" s="109"/>
      <c r="BM860" s="109"/>
      <c r="BN860" s="109"/>
      <c r="BO860" s="109"/>
      <c r="BP860" s="109"/>
      <c r="BQ860" s="109"/>
      <c r="BR860" s="109"/>
      <c r="BS860" s="109"/>
      <c r="BT860" s="109"/>
      <c r="BU860" s="109"/>
    </row>
    <row r="861" ht="15.75" customHeight="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10"/>
      <c r="X861" s="109"/>
      <c r="Y861" s="109"/>
      <c r="Z861" s="109"/>
      <c r="AA861" s="109"/>
      <c r="AB861" s="109"/>
      <c r="AC861" s="109"/>
      <c r="AD861" s="109"/>
      <c r="AE861" s="109"/>
      <c r="AF861" s="109"/>
      <c r="AG861" s="109"/>
      <c r="AH861" s="109"/>
      <c r="AI861" s="109"/>
      <c r="AJ861" s="109"/>
      <c r="AK861" s="109"/>
      <c r="AL861" s="109"/>
      <c r="AM861" s="109"/>
      <c r="AN861" s="109"/>
      <c r="AO861" s="109"/>
      <c r="AP861" s="109"/>
      <c r="AQ861" s="109"/>
      <c r="AR861" s="109"/>
      <c r="AS861" s="109"/>
      <c r="AT861" s="109"/>
      <c r="AU861" s="109"/>
      <c r="AV861" s="109"/>
      <c r="AW861" s="109"/>
      <c r="AX861" s="109"/>
      <c r="AY861" s="109"/>
      <c r="AZ861" s="109"/>
      <c r="BA861" s="109"/>
      <c r="BB861" s="109"/>
      <c r="BC861" s="109"/>
      <c r="BD861" s="109"/>
      <c r="BE861" s="109"/>
      <c r="BF861" s="109"/>
      <c r="BG861" s="109"/>
      <c r="BH861" s="109"/>
      <c r="BI861" s="109"/>
      <c r="BJ861" s="109"/>
      <c r="BK861" s="109"/>
      <c r="BL861" s="109"/>
      <c r="BM861" s="109"/>
      <c r="BN861" s="109"/>
      <c r="BO861" s="109"/>
      <c r="BP861" s="109"/>
      <c r="BQ861" s="109"/>
      <c r="BR861" s="109"/>
      <c r="BS861" s="109"/>
      <c r="BT861" s="109"/>
      <c r="BU861" s="109"/>
    </row>
    <row r="862" ht="15.75" customHeight="1">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10"/>
      <c r="X862" s="109"/>
      <c r="Y862" s="109"/>
      <c r="Z862" s="109"/>
      <c r="AA862" s="109"/>
      <c r="AB862" s="109"/>
      <c r="AC862" s="109"/>
      <c r="AD862" s="109"/>
      <c r="AE862" s="109"/>
      <c r="AF862" s="109"/>
      <c r="AG862" s="109"/>
      <c r="AH862" s="109"/>
      <c r="AI862" s="109"/>
      <c r="AJ862" s="109"/>
      <c r="AK862" s="109"/>
      <c r="AL862" s="109"/>
      <c r="AM862" s="109"/>
      <c r="AN862" s="109"/>
      <c r="AO862" s="109"/>
      <c r="AP862" s="109"/>
      <c r="AQ862" s="109"/>
      <c r="AR862" s="109"/>
      <c r="AS862" s="109"/>
      <c r="AT862" s="109"/>
      <c r="AU862" s="109"/>
      <c r="AV862" s="109"/>
      <c r="AW862" s="109"/>
      <c r="AX862" s="109"/>
      <c r="AY862" s="109"/>
      <c r="AZ862" s="109"/>
      <c r="BA862" s="109"/>
      <c r="BB862" s="109"/>
      <c r="BC862" s="109"/>
      <c r="BD862" s="109"/>
      <c r="BE862" s="109"/>
      <c r="BF862" s="109"/>
      <c r="BG862" s="109"/>
      <c r="BH862" s="109"/>
      <c r="BI862" s="109"/>
      <c r="BJ862" s="109"/>
      <c r="BK862" s="109"/>
      <c r="BL862" s="109"/>
      <c r="BM862" s="109"/>
      <c r="BN862" s="109"/>
      <c r="BO862" s="109"/>
      <c r="BP862" s="109"/>
      <c r="BQ862" s="109"/>
      <c r="BR862" s="109"/>
      <c r="BS862" s="109"/>
      <c r="BT862" s="109"/>
      <c r="BU862" s="109"/>
    </row>
    <row r="863" ht="15.75" customHeight="1">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10"/>
      <c r="X863" s="109"/>
      <c r="Y863" s="109"/>
      <c r="Z863" s="109"/>
      <c r="AA863" s="109"/>
      <c r="AB863" s="109"/>
      <c r="AC863" s="109"/>
      <c r="AD863" s="109"/>
      <c r="AE863" s="109"/>
      <c r="AF863" s="109"/>
      <c r="AG863" s="109"/>
      <c r="AH863" s="109"/>
      <c r="AI863" s="109"/>
      <c r="AJ863" s="109"/>
      <c r="AK863" s="109"/>
      <c r="AL863" s="109"/>
      <c r="AM863" s="109"/>
      <c r="AN863" s="109"/>
      <c r="AO863" s="109"/>
      <c r="AP863" s="109"/>
      <c r="AQ863" s="109"/>
      <c r="AR863" s="109"/>
      <c r="AS863" s="109"/>
      <c r="AT863" s="109"/>
      <c r="AU863" s="109"/>
      <c r="AV863" s="109"/>
      <c r="AW863" s="109"/>
      <c r="AX863" s="109"/>
      <c r="AY863" s="109"/>
      <c r="AZ863" s="109"/>
      <c r="BA863" s="109"/>
      <c r="BB863" s="109"/>
      <c r="BC863" s="109"/>
      <c r="BD863" s="109"/>
      <c r="BE863" s="109"/>
      <c r="BF863" s="109"/>
      <c r="BG863" s="109"/>
      <c r="BH863" s="109"/>
      <c r="BI863" s="109"/>
      <c r="BJ863" s="109"/>
      <c r="BK863" s="109"/>
      <c r="BL863" s="109"/>
      <c r="BM863" s="109"/>
      <c r="BN863" s="109"/>
      <c r="BO863" s="109"/>
      <c r="BP863" s="109"/>
      <c r="BQ863" s="109"/>
      <c r="BR863" s="109"/>
      <c r="BS863" s="109"/>
      <c r="BT863" s="109"/>
      <c r="BU863" s="109"/>
    </row>
    <row r="864" ht="15.75" customHeight="1">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10"/>
      <c r="X864" s="109"/>
      <c r="Y864" s="109"/>
      <c r="Z864" s="109"/>
      <c r="AA864" s="109"/>
      <c r="AB864" s="109"/>
      <c r="AC864" s="109"/>
      <c r="AD864" s="109"/>
      <c r="AE864" s="109"/>
      <c r="AF864" s="109"/>
      <c r="AG864" s="109"/>
      <c r="AH864" s="109"/>
      <c r="AI864" s="109"/>
      <c r="AJ864" s="109"/>
      <c r="AK864" s="109"/>
      <c r="AL864" s="109"/>
      <c r="AM864" s="109"/>
      <c r="AN864" s="109"/>
      <c r="AO864" s="109"/>
      <c r="AP864" s="109"/>
      <c r="AQ864" s="109"/>
      <c r="AR864" s="109"/>
      <c r="AS864" s="109"/>
      <c r="AT864" s="109"/>
      <c r="AU864" s="109"/>
      <c r="AV864" s="109"/>
      <c r="AW864" s="109"/>
      <c r="AX864" s="109"/>
      <c r="AY864" s="109"/>
      <c r="AZ864" s="109"/>
      <c r="BA864" s="109"/>
      <c r="BB864" s="109"/>
      <c r="BC864" s="109"/>
      <c r="BD864" s="109"/>
      <c r="BE864" s="109"/>
      <c r="BF864" s="109"/>
      <c r="BG864" s="109"/>
      <c r="BH864" s="109"/>
      <c r="BI864" s="109"/>
      <c r="BJ864" s="109"/>
      <c r="BK864" s="109"/>
      <c r="BL864" s="109"/>
      <c r="BM864" s="109"/>
      <c r="BN864" s="109"/>
      <c r="BO864" s="109"/>
      <c r="BP864" s="109"/>
      <c r="BQ864" s="109"/>
      <c r="BR864" s="109"/>
      <c r="BS864" s="109"/>
      <c r="BT864" s="109"/>
      <c r="BU864" s="109"/>
    </row>
    <row r="865" ht="15.75" customHeight="1">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10"/>
      <c r="X865" s="109"/>
      <c r="Y865" s="109"/>
      <c r="Z865" s="109"/>
      <c r="AA865" s="109"/>
      <c r="AB865" s="109"/>
      <c r="AC865" s="109"/>
      <c r="AD865" s="109"/>
      <c r="AE865" s="109"/>
      <c r="AF865" s="109"/>
      <c r="AG865" s="109"/>
      <c r="AH865" s="109"/>
      <c r="AI865" s="109"/>
      <c r="AJ865" s="109"/>
      <c r="AK865" s="109"/>
      <c r="AL865" s="109"/>
      <c r="AM865" s="109"/>
      <c r="AN865" s="109"/>
      <c r="AO865" s="109"/>
      <c r="AP865" s="109"/>
      <c r="AQ865" s="109"/>
      <c r="AR865" s="109"/>
      <c r="AS865" s="109"/>
      <c r="AT865" s="109"/>
      <c r="AU865" s="109"/>
      <c r="AV865" s="109"/>
      <c r="AW865" s="109"/>
      <c r="AX865" s="109"/>
      <c r="AY865" s="109"/>
      <c r="AZ865" s="109"/>
      <c r="BA865" s="109"/>
      <c r="BB865" s="109"/>
      <c r="BC865" s="109"/>
      <c r="BD865" s="109"/>
      <c r="BE865" s="109"/>
      <c r="BF865" s="109"/>
      <c r="BG865" s="109"/>
      <c r="BH865" s="109"/>
      <c r="BI865" s="109"/>
      <c r="BJ865" s="109"/>
      <c r="BK865" s="109"/>
      <c r="BL865" s="109"/>
      <c r="BM865" s="109"/>
      <c r="BN865" s="109"/>
      <c r="BO865" s="109"/>
      <c r="BP865" s="109"/>
      <c r="BQ865" s="109"/>
      <c r="BR865" s="109"/>
      <c r="BS865" s="109"/>
      <c r="BT865" s="109"/>
      <c r="BU865" s="109"/>
    </row>
    <row r="866" ht="15.75" customHeight="1">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10"/>
      <c r="X866" s="109"/>
      <c r="Y866" s="109"/>
      <c r="Z866" s="109"/>
      <c r="AA866" s="109"/>
      <c r="AB866" s="109"/>
      <c r="AC866" s="109"/>
      <c r="AD866" s="109"/>
      <c r="AE866" s="109"/>
      <c r="AF866" s="109"/>
      <c r="AG866" s="109"/>
      <c r="AH866" s="109"/>
      <c r="AI866" s="109"/>
      <c r="AJ866" s="109"/>
      <c r="AK866" s="109"/>
      <c r="AL866" s="109"/>
      <c r="AM866" s="109"/>
      <c r="AN866" s="109"/>
      <c r="AO866" s="109"/>
      <c r="AP866" s="109"/>
      <c r="AQ866" s="109"/>
      <c r="AR866" s="109"/>
      <c r="AS866" s="109"/>
      <c r="AT866" s="109"/>
      <c r="AU866" s="109"/>
      <c r="AV866" s="109"/>
      <c r="AW866" s="109"/>
      <c r="AX866" s="109"/>
      <c r="AY866" s="109"/>
      <c r="AZ866" s="109"/>
      <c r="BA866" s="109"/>
      <c r="BB866" s="109"/>
      <c r="BC866" s="109"/>
      <c r="BD866" s="109"/>
      <c r="BE866" s="109"/>
      <c r="BF866" s="109"/>
      <c r="BG866" s="109"/>
      <c r="BH866" s="109"/>
      <c r="BI866" s="109"/>
      <c r="BJ866" s="109"/>
      <c r="BK866" s="109"/>
      <c r="BL866" s="109"/>
      <c r="BM866" s="109"/>
      <c r="BN866" s="109"/>
      <c r="BO866" s="109"/>
      <c r="BP866" s="109"/>
      <c r="BQ866" s="109"/>
      <c r="BR866" s="109"/>
      <c r="BS866" s="109"/>
      <c r="BT866" s="109"/>
      <c r="BU866" s="109"/>
    </row>
    <row r="867" ht="15.75" customHeight="1">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10"/>
      <c r="X867" s="109"/>
      <c r="Y867" s="109"/>
      <c r="Z867" s="109"/>
      <c r="AA867" s="109"/>
      <c r="AB867" s="109"/>
      <c r="AC867" s="109"/>
      <c r="AD867" s="109"/>
      <c r="AE867" s="109"/>
      <c r="AF867" s="109"/>
      <c r="AG867" s="109"/>
      <c r="AH867" s="109"/>
      <c r="AI867" s="109"/>
      <c r="AJ867" s="109"/>
      <c r="AK867" s="109"/>
      <c r="AL867" s="109"/>
      <c r="AM867" s="109"/>
      <c r="AN867" s="109"/>
      <c r="AO867" s="109"/>
      <c r="AP867" s="109"/>
      <c r="AQ867" s="109"/>
      <c r="AR867" s="109"/>
      <c r="AS867" s="109"/>
      <c r="AT867" s="109"/>
      <c r="AU867" s="109"/>
      <c r="AV867" s="109"/>
      <c r="AW867" s="109"/>
      <c r="AX867" s="109"/>
      <c r="AY867" s="109"/>
      <c r="AZ867" s="109"/>
      <c r="BA867" s="109"/>
      <c r="BB867" s="109"/>
      <c r="BC867" s="109"/>
      <c r="BD867" s="109"/>
      <c r="BE867" s="109"/>
      <c r="BF867" s="109"/>
      <c r="BG867" s="109"/>
      <c r="BH867" s="109"/>
      <c r="BI867" s="109"/>
      <c r="BJ867" s="109"/>
      <c r="BK867" s="109"/>
      <c r="BL867" s="109"/>
      <c r="BM867" s="109"/>
      <c r="BN867" s="109"/>
      <c r="BO867" s="109"/>
      <c r="BP867" s="109"/>
      <c r="BQ867" s="109"/>
      <c r="BR867" s="109"/>
      <c r="BS867" s="109"/>
      <c r="BT867" s="109"/>
      <c r="BU867" s="109"/>
    </row>
    <row r="868" ht="15.75" customHeight="1">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10"/>
      <c r="X868" s="109"/>
      <c r="Y868" s="109"/>
      <c r="Z868" s="109"/>
      <c r="AA868" s="109"/>
      <c r="AB868" s="109"/>
      <c r="AC868" s="109"/>
      <c r="AD868" s="109"/>
      <c r="AE868" s="109"/>
      <c r="AF868" s="109"/>
      <c r="AG868" s="109"/>
      <c r="AH868" s="109"/>
      <c r="AI868" s="109"/>
      <c r="AJ868" s="109"/>
      <c r="AK868" s="109"/>
      <c r="AL868" s="109"/>
      <c r="AM868" s="109"/>
      <c r="AN868" s="109"/>
      <c r="AO868" s="109"/>
      <c r="AP868" s="109"/>
      <c r="AQ868" s="109"/>
      <c r="AR868" s="109"/>
      <c r="AS868" s="109"/>
      <c r="AT868" s="109"/>
      <c r="AU868" s="109"/>
      <c r="AV868" s="109"/>
      <c r="AW868" s="109"/>
      <c r="AX868" s="109"/>
      <c r="AY868" s="109"/>
      <c r="AZ868" s="109"/>
      <c r="BA868" s="109"/>
      <c r="BB868" s="109"/>
      <c r="BC868" s="109"/>
      <c r="BD868" s="109"/>
      <c r="BE868" s="109"/>
      <c r="BF868" s="109"/>
      <c r="BG868" s="109"/>
      <c r="BH868" s="109"/>
      <c r="BI868" s="109"/>
      <c r="BJ868" s="109"/>
      <c r="BK868" s="109"/>
      <c r="BL868" s="109"/>
      <c r="BM868" s="109"/>
      <c r="BN868" s="109"/>
      <c r="BO868" s="109"/>
      <c r="BP868" s="109"/>
      <c r="BQ868" s="109"/>
      <c r="BR868" s="109"/>
      <c r="BS868" s="109"/>
      <c r="BT868" s="109"/>
      <c r="BU868" s="109"/>
    </row>
    <row r="869" ht="15.75" customHeight="1">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10"/>
      <c r="X869" s="109"/>
      <c r="Y869" s="109"/>
      <c r="Z869" s="109"/>
      <c r="AA869" s="109"/>
      <c r="AB869" s="109"/>
      <c r="AC869" s="109"/>
      <c r="AD869" s="109"/>
      <c r="AE869" s="109"/>
      <c r="AF869" s="109"/>
      <c r="AG869" s="109"/>
      <c r="AH869" s="109"/>
      <c r="AI869" s="109"/>
      <c r="AJ869" s="109"/>
      <c r="AK869" s="109"/>
      <c r="AL869" s="109"/>
      <c r="AM869" s="109"/>
      <c r="AN869" s="109"/>
      <c r="AO869" s="109"/>
      <c r="AP869" s="109"/>
      <c r="AQ869" s="109"/>
      <c r="AR869" s="109"/>
      <c r="AS869" s="109"/>
      <c r="AT869" s="109"/>
      <c r="AU869" s="109"/>
      <c r="AV869" s="109"/>
      <c r="AW869" s="109"/>
      <c r="AX869" s="109"/>
      <c r="AY869" s="109"/>
      <c r="AZ869" s="109"/>
      <c r="BA869" s="109"/>
      <c r="BB869" s="109"/>
      <c r="BC869" s="109"/>
      <c r="BD869" s="109"/>
      <c r="BE869" s="109"/>
      <c r="BF869" s="109"/>
      <c r="BG869" s="109"/>
      <c r="BH869" s="109"/>
      <c r="BI869" s="109"/>
      <c r="BJ869" s="109"/>
      <c r="BK869" s="109"/>
      <c r="BL869" s="109"/>
      <c r="BM869" s="109"/>
      <c r="BN869" s="109"/>
      <c r="BO869" s="109"/>
      <c r="BP869" s="109"/>
      <c r="BQ869" s="109"/>
      <c r="BR869" s="109"/>
      <c r="BS869" s="109"/>
      <c r="BT869" s="109"/>
      <c r="BU869" s="109"/>
    </row>
    <row r="870" ht="15.75" customHeight="1">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10"/>
      <c r="X870" s="109"/>
      <c r="Y870" s="109"/>
      <c r="Z870" s="109"/>
      <c r="AA870" s="109"/>
      <c r="AB870" s="109"/>
      <c r="AC870" s="109"/>
      <c r="AD870" s="109"/>
      <c r="AE870" s="109"/>
      <c r="AF870" s="109"/>
      <c r="AG870" s="109"/>
      <c r="AH870" s="109"/>
      <c r="AI870" s="109"/>
      <c r="AJ870" s="109"/>
      <c r="AK870" s="109"/>
      <c r="AL870" s="109"/>
      <c r="AM870" s="109"/>
      <c r="AN870" s="109"/>
      <c r="AO870" s="109"/>
      <c r="AP870" s="109"/>
      <c r="AQ870" s="109"/>
      <c r="AR870" s="109"/>
      <c r="AS870" s="109"/>
      <c r="AT870" s="109"/>
      <c r="AU870" s="109"/>
      <c r="AV870" s="109"/>
      <c r="AW870" s="109"/>
      <c r="AX870" s="109"/>
      <c r="AY870" s="109"/>
      <c r="AZ870" s="109"/>
      <c r="BA870" s="109"/>
      <c r="BB870" s="109"/>
      <c r="BC870" s="109"/>
      <c r="BD870" s="109"/>
      <c r="BE870" s="109"/>
      <c r="BF870" s="109"/>
      <c r="BG870" s="109"/>
      <c r="BH870" s="109"/>
      <c r="BI870" s="109"/>
      <c r="BJ870" s="109"/>
      <c r="BK870" s="109"/>
      <c r="BL870" s="109"/>
      <c r="BM870" s="109"/>
      <c r="BN870" s="109"/>
      <c r="BO870" s="109"/>
      <c r="BP870" s="109"/>
      <c r="BQ870" s="109"/>
      <c r="BR870" s="109"/>
      <c r="BS870" s="109"/>
      <c r="BT870" s="109"/>
      <c r="BU870" s="109"/>
    </row>
    <row r="871" ht="15.75" customHeight="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10"/>
      <c r="X871" s="109"/>
      <c r="Y871" s="109"/>
      <c r="Z871" s="109"/>
      <c r="AA871" s="109"/>
      <c r="AB871" s="109"/>
      <c r="AC871" s="109"/>
      <c r="AD871" s="109"/>
      <c r="AE871" s="109"/>
      <c r="AF871" s="109"/>
      <c r="AG871" s="109"/>
      <c r="AH871" s="109"/>
      <c r="AI871" s="109"/>
      <c r="AJ871" s="109"/>
      <c r="AK871" s="109"/>
      <c r="AL871" s="109"/>
      <c r="AM871" s="109"/>
      <c r="AN871" s="109"/>
      <c r="AO871" s="109"/>
      <c r="AP871" s="109"/>
      <c r="AQ871" s="109"/>
      <c r="AR871" s="109"/>
      <c r="AS871" s="109"/>
      <c r="AT871" s="109"/>
      <c r="AU871" s="109"/>
      <c r="AV871" s="109"/>
      <c r="AW871" s="109"/>
      <c r="AX871" s="109"/>
      <c r="AY871" s="109"/>
      <c r="AZ871" s="109"/>
      <c r="BA871" s="109"/>
      <c r="BB871" s="109"/>
      <c r="BC871" s="109"/>
      <c r="BD871" s="109"/>
      <c r="BE871" s="109"/>
      <c r="BF871" s="109"/>
      <c r="BG871" s="109"/>
      <c r="BH871" s="109"/>
      <c r="BI871" s="109"/>
      <c r="BJ871" s="109"/>
      <c r="BK871" s="109"/>
      <c r="BL871" s="109"/>
      <c r="BM871" s="109"/>
      <c r="BN871" s="109"/>
      <c r="BO871" s="109"/>
      <c r="BP871" s="109"/>
      <c r="BQ871" s="109"/>
      <c r="BR871" s="109"/>
      <c r="BS871" s="109"/>
      <c r="BT871" s="109"/>
      <c r="BU871" s="109"/>
    </row>
    <row r="872" ht="15.75" customHeight="1">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10"/>
      <c r="X872" s="109"/>
      <c r="Y872" s="109"/>
      <c r="Z872" s="109"/>
      <c r="AA872" s="109"/>
      <c r="AB872" s="109"/>
      <c r="AC872" s="109"/>
      <c r="AD872" s="109"/>
      <c r="AE872" s="109"/>
      <c r="AF872" s="109"/>
      <c r="AG872" s="109"/>
      <c r="AH872" s="109"/>
      <c r="AI872" s="109"/>
      <c r="AJ872" s="109"/>
      <c r="AK872" s="109"/>
      <c r="AL872" s="109"/>
      <c r="AM872" s="109"/>
      <c r="AN872" s="109"/>
      <c r="AO872" s="109"/>
      <c r="AP872" s="109"/>
      <c r="AQ872" s="109"/>
      <c r="AR872" s="109"/>
      <c r="AS872" s="109"/>
      <c r="AT872" s="109"/>
      <c r="AU872" s="109"/>
      <c r="AV872" s="109"/>
      <c r="AW872" s="109"/>
      <c r="AX872" s="109"/>
      <c r="AY872" s="109"/>
      <c r="AZ872" s="109"/>
      <c r="BA872" s="109"/>
      <c r="BB872" s="109"/>
      <c r="BC872" s="109"/>
      <c r="BD872" s="109"/>
      <c r="BE872" s="109"/>
      <c r="BF872" s="109"/>
      <c r="BG872" s="109"/>
      <c r="BH872" s="109"/>
      <c r="BI872" s="109"/>
      <c r="BJ872" s="109"/>
      <c r="BK872" s="109"/>
      <c r="BL872" s="109"/>
      <c r="BM872" s="109"/>
      <c r="BN872" s="109"/>
      <c r="BO872" s="109"/>
      <c r="BP872" s="109"/>
      <c r="BQ872" s="109"/>
      <c r="BR872" s="109"/>
      <c r="BS872" s="109"/>
      <c r="BT872" s="109"/>
      <c r="BU872" s="109"/>
    </row>
    <row r="873" ht="15.75" customHeight="1">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10"/>
      <c r="X873" s="109"/>
      <c r="Y873" s="109"/>
      <c r="Z873" s="109"/>
      <c r="AA873" s="109"/>
      <c r="AB873" s="109"/>
      <c r="AC873" s="109"/>
      <c r="AD873" s="109"/>
      <c r="AE873" s="109"/>
      <c r="AF873" s="109"/>
      <c r="AG873" s="109"/>
      <c r="AH873" s="109"/>
      <c r="AI873" s="109"/>
      <c r="AJ873" s="109"/>
      <c r="AK873" s="109"/>
      <c r="AL873" s="109"/>
      <c r="AM873" s="109"/>
      <c r="AN873" s="109"/>
      <c r="AO873" s="109"/>
      <c r="AP873" s="109"/>
      <c r="AQ873" s="109"/>
      <c r="AR873" s="109"/>
      <c r="AS873" s="109"/>
      <c r="AT873" s="109"/>
      <c r="AU873" s="109"/>
      <c r="AV873" s="109"/>
      <c r="AW873" s="109"/>
      <c r="AX873" s="109"/>
      <c r="AY873" s="109"/>
      <c r="AZ873" s="109"/>
      <c r="BA873" s="109"/>
      <c r="BB873" s="109"/>
      <c r="BC873" s="109"/>
      <c r="BD873" s="109"/>
      <c r="BE873" s="109"/>
      <c r="BF873" s="109"/>
      <c r="BG873" s="109"/>
      <c r="BH873" s="109"/>
      <c r="BI873" s="109"/>
      <c r="BJ873" s="109"/>
      <c r="BK873" s="109"/>
      <c r="BL873" s="109"/>
      <c r="BM873" s="109"/>
      <c r="BN873" s="109"/>
      <c r="BO873" s="109"/>
      <c r="BP873" s="109"/>
      <c r="BQ873" s="109"/>
      <c r="BR873" s="109"/>
      <c r="BS873" s="109"/>
      <c r="BT873" s="109"/>
      <c r="BU873" s="109"/>
    </row>
    <row r="874" ht="15.75" customHeight="1">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10"/>
      <c r="X874" s="109"/>
      <c r="Y874" s="109"/>
      <c r="Z874" s="109"/>
      <c r="AA874" s="109"/>
      <c r="AB874" s="109"/>
      <c r="AC874" s="109"/>
      <c r="AD874" s="109"/>
      <c r="AE874" s="109"/>
      <c r="AF874" s="109"/>
      <c r="AG874" s="109"/>
      <c r="AH874" s="109"/>
      <c r="AI874" s="109"/>
      <c r="AJ874" s="109"/>
      <c r="AK874" s="109"/>
      <c r="AL874" s="109"/>
      <c r="AM874" s="109"/>
      <c r="AN874" s="109"/>
      <c r="AO874" s="109"/>
      <c r="AP874" s="109"/>
      <c r="AQ874" s="109"/>
      <c r="AR874" s="109"/>
      <c r="AS874" s="109"/>
      <c r="AT874" s="109"/>
      <c r="AU874" s="109"/>
      <c r="AV874" s="109"/>
      <c r="AW874" s="109"/>
      <c r="AX874" s="109"/>
      <c r="AY874" s="109"/>
      <c r="AZ874" s="109"/>
      <c r="BA874" s="109"/>
      <c r="BB874" s="109"/>
      <c r="BC874" s="109"/>
      <c r="BD874" s="109"/>
      <c r="BE874" s="109"/>
      <c r="BF874" s="109"/>
      <c r="BG874" s="109"/>
      <c r="BH874" s="109"/>
      <c r="BI874" s="109"/>
      <c r="BJ874" s="109"/>
      <c r="BK874" s="109"/>
      <c r="BL874" s="109"/>
      <c r="BM874" s="109"/>
      <c r="BN874" s="109"/>
      <c r="BO874" s="109"/>
      <c r="BP874" s="109"/>
      <c r="BQ874" s="109"/>
      <c r="BR874" s="109"/>
      <c r="BS874" s="109"/>
      <c r="BT874" s="109"/>
      <c r="BU874" s="109"/>
    </row>
    <row r="875" ht="15.75" customHeight="1">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10"/>
      <c r="X875" s="109"/>
      <c r="Y875" s="109"/>
      <c r="Z875" s="109"/>
      <c r="AA875" s="109"/>
      <c r="AB875" s="109"/>
      <c r="AC875" s="109"/>
      <c r="AD875" s="109"/>
      <c r="AE875" s="109"/>
      <c r="AF875" s="109"/>
      <c r="AG875" s="109"/>
      <c r="AH875" s="109"/>
      <c r="AI875" s="109"/>
      <c r="AJ875" s="109"/>
      <c r="AK875" s="109"/>
      <c r="AL875" s="109"/>
      <c r="AM875" s="109"/>
      <c r="AN875" s="109"/>
      <c r="AO875" s="109"/>
      <c r="AP875" s="109"/>
      <c r="AQ875" s="109"/>
      <c r="AR875" s="109"/>
      <c r="AS875" s="109"/>
      <c r="AT875" s="109"/>
      <c r="AU875" s="109"/>
      <c r="AV875" s="109"/>
      <c r="AW875" s="109"/>
      <c r="AX875" s="109"/>
      <c r="AY875" s="109"/>
      <c r="AZ875" s="109"/>
      <c r="BA875" s="109"/>
      <c r="BB875" s="109"/>
      <c r="BC875" s="109"/>
      <c r="BD875" s="109"/>
      <c r="BE875" s="109"/>
      <c r="BF875" s="109"/>
      <c r="BG875" s="109"/>
      <c r="BH875" s="109"/>
      <c r="BI875" s="109"/>
      <c r="BJ875" s="109"/>
      <c r="BK875" s="109"/>
      <c r="BL875" s="109"/>
      <c r="BM875" s="109"/>
      <c r="BN875" s="109"/>
      <c r="BO875" s="109"/>
      <c r="BP875" s="109"/>
      <c r="BQ875" s="109"/>
      <c r="BR875" s="109"/>
      <c r="BS875" s="109"/>
      <c r="BT875" s="109"/>
      <c r="BU875" s="109"/>
    </row>
    <row r="876" ht="15.75" customHeight="1">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10"/>
      <c r="X876" s="109"/>
      <c r="Y876" s="109"/>
      <c r="Z876" s="109"/>
      <c r="AA876" s="109"/>
      <c r="AB876" s="109"/>
      <c r="AC876" s="109"/>
      <c r="AD876" s="109"/>
      <c r="AE876" s="109"/>
      <c r="AF876" s="109"/>
      <c r="AG876" s="109"/>
      <c r="AH876" s="109"/>
      <c r="AI876" s="109"/>
      <c r="AJ876" s="109"/>
      <c r="AK876" s="109"/>
      <c r="AL876" s="109"/>
      <c r="AM876" s="109"/>
      <c r="AN876" s="109"/>
      <c r="AO876" s="109"/>
      <c r="AP876" s="109"/>
      <c r="AQ876" s="109"/>
      <c r="AR876" s="109"/>
      <c r="AS876" s="109"/>
      <c r="AT876" s="109"/>
      <c r="AU876" s="109"/>
      <c r="AV876" s="109"/>
      <c r="AW876" s="109"/>
      <c r="AX876" s="109"/>
      <c r="AY876" s="109"/>
      <c r="AZ876" s="109"/>
      <c r="BA876" s="109"/>
      <c r="BB876" s="109"/>
      <c r="BC876" s="109"/>
      <c r="BD876" s="109"/>
      <c r="BE876" s="109"/>
      <c r="BF876" s="109"/>
      <c r="BG876" s="109"/>
      <c r="BH876" s="109"/>
      <c r="BI876" s="109"/>
      <c r="BJ876" s="109"/>
      <c r="BK876" s="109"/>
      <c r="BL876" s="109"/>
      <c r="BM876" s="109"/>
      <c r="BN876" s="109"/>
      <c r="BO876" s="109"/>
      <c r="BP876" s="109"/>
      <c r="BQ876" s="109"/>
      <c r="BR876" s="109"/>
      <c r="BS876" s="109"/>
      <c r="BT876" s="109"/>
      <c r="BU876" s="109"/>
    </row>
    <row r="877" ht="15.75" customHeight="1">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10"/>
      <c r="X877" s="109"/>
      <c r="Y877" s="109"/>
      <c r="Z877" s="109"/>
      <c r="AA877" s="109"/>
      <c r="AB877" s="109"/>
      <c r="AC877" s="109"/>
      <c r="AD877" s="109"/>
      <c r="AE877" s="109"/>
      <c r="AF877" s="109"/>
      <c r="AG877" s="109"/>
      <c r="AH877" s="109"/>
      <c r="AI877" s="109"/>
      <c r="AJ877" s="109"/>
      <c r="AK877" s="109"/>
      <c r="AL877" s="109"/>
      <c r="AM877" s="109"/>
      <c r="AN877" s="109"/>
      <c r="AO877" s="109"/>
      <c r="AP877" s="109"/>
      <c r="AQ877" s="109"/>
      <c r="AR877" s="109"/>
      <c r="AS877" s="109"/>
      <c r="AT877" s="109"/>
      <c r="AU877" s="109"/>
      <c r="AV877" s="109"/>
      <c r="AW877" s="109"/>
      <c r="AX877" s="109"/>
      <c r="AY877" s="109"/>
      <c r="AZ877" s="109"/>
      <c r="BA877" s="109"/>
      <c r="BB877" s="109"/>
      <c r="BC877" s="109"/>
      <c r="BD877" s="109"/>
      <c r="BE877" s="109"/>
      <c r="BF877" s="109"/>
      <c r="BG877" s="109"/>
      <c r="BH877" s="109"/>
      <c r="BI877" s="109"/>
      <c r="BJ877" s="109"/>
      <c r="BK877" s="109"/>
      <c r="BL877" s="109"/>
      <c r="BM877" s="109"/>
      <c r="BN877" s="109"/>
      <c r="BO877" s="109"/>
      <c r="BP877" s="109"/>
      <c r="BQ877" s="109"/>
      <c r="BR877" s="109"/>
      <c r="BS877" s="109"/>
      <c r="BT877" s="109"/>
      <c r="BU877" s="109"/>
    </row>
    <row r="878" ht="15.75" customHeight="1">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10"/>
      <c r="X878" s="109"/>
      <c r="Y878" s="109"/>
      <c r="Z878" s="109"/>
      <c r="AA878" s="109"/>
      <c r="AB878" s="109"/>
      <c r="AC878" s="109"/>
      <c r="AD878" s="109"/>
      <c r="AE878" s="109"/>
      <c r="AF878" s="109"/>
      <c r="AG878" s="109"/>
      <c r="AH878" s="109"/>
      <c r="AI878" s="109"/>
      <c r="AJ878" s="109"/>
      <c r="AK878" s="109"/>
      <c r="AL878" s="109"/>
      <c r="AM878" s="109"/>
      <c r="AN878" s="109"/>
      <c r="AO878" s="109"/>
      <c r="AP878" s="109"/>
      <c r="AQ878" s="109"/>
      <c r="AR878" s="109"/>
      <c r="AS878" s="109"/>
      <c r="AT878" s="109"/>
      <c r="AU878" s="109"/>
      <c r="AV878" s="109"/>
      <c r="AW878" s="109"/>
      <c r="AX878" s="109"/>
      <c r="AY878" s="109"/>
      <c r="AZ878" s="109"/>
      <c r="BA878" s="109"/>
      <c r="BB878" s="109"/>
      <c r="BC878" s="109"/>
      <c r="BD878" s="109"/>
      <c r="BE878" s="109"/>
      <c r="BF878" s="109"/>
      <c r="BG878" s="109"/>
      <c r="BH878" s="109"/>
      <c r="BI878" s="109"/>
      <c r="BJ878" s="109"/>
      <c r="BK878" s="109"/>
      <c r="BL878" s="109"/>
      <c r="BM878" s="109"/>
      <c r="BN878" s="109"/>
      <c r="BO878" s="109"/>
      <c r="BP878" s="109"/>
      <c r="BQ878" s="109"/>
      <c r="BR878" s="109"/>
      <c r="BS878" s="109"/>
      <c r="BT878" s="109"/>
      <c r="BU878" s="109"/>
    </row>
    <row r="879" ht="15.75" customHeight="1">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10"/>
      <c r="X879" s="109"/>
      <c r="Y879" s="109"/>
      <c r="Z879" s="109"/>
      <c r="AA879" s="109"/>
      <c r="AB879" s="109"/>
      <c r="AC879" s="109"/>
      <c r="AD879" s="109"/>
      <c r="AE879" s="109"/>
      <c r="AF879" s="109"/>
      <c r="AG879" s="109"/>
      <c r="AH879" s="109"/>
      <c r="AI879" s="109"/>
      <c r="AJ879" s="109"/>
      <c r="AK879" s="109"/>
      <c r="AL879" s="109"/>
      <c r="AM879" s="109"/>
      <c r="AN879" s="109"/>
      <c r="AO879" s="109"/>
      <c r="AP879" s="109"/>
      <c r="AQ879" s="109"/>
      <c r="AR879" s="109"/>
      <c r="AS879" s="109"/>
      <c r="AT879" s="109"/>
      <c r="AU879" s="109"/>
      <c r="AV879" s="109"/>
      <c r="AW879" s="109"/>
      <c r="AX879" s="109"/>
      <c r="AY879" s="109"/>
      <c r="AZ879" s="109"/>
      <c r="BA879" s="109"/>
      <c r="BB879" s="109"/>
      <c r="BC879" s="109"/>
      <c r="BD879" s="109"/>
      <c r="BE879" s="109"/>
      <c r="BF879" s="109"/>
      <c r="BG879" s="109"/>
      <c r="BH879" s="109"/>
      <c r="BI879" s="109"/>
      <c r="BJ879" s="109"/>
      <c r="BK879" s="109"/>
      <c r="BL879" s="109"/>
      <c r="BM879" s="109"/>
      <c r="BN879" s="109"/>
      <c r="BO879" s="109"/>
      <c r="BP879" s="109"/>
      <c r="BQ879" s="109"/>
      <c r="BR879" s="109"/>
      <c r="BS879" s="109"/>
      <c r="BT879" s="109"/>
      <c r="BU879" s="109"/>
    </row>
    <row r="880" ht="15.75" customHeight="1">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10"/>
      <c r="X880" s="109"/>
      <c r="Y880" s="109"/>
      <c r="Z880" s="109"/>
      <c r="AA880" s="109"/>
      <c r="AB880" s="109"/>
      <c r="AC880" s="109"/>
      <c r="AD880" s="109"/>
      <c r="AE880" s="109"/>
      <c r="AF880" s="109"/>
      <c r="AG880" s="109"/>
      <c r="AH880" s="109"/>
      <c r="AI880" s="109"/>
      <c r="AJ880" s="109"/>
      <c r="AK880" s="109"/>
      <c r="AL880" s="109"/>
      <c r="AM880" s="109"/>
      <c r="AN880" s="109"/>
      <c r="AO880" s="109"/>
      <c r="AP880" s="109"/>
      <c r="AQ880" s="109"/>
      <c r="AR880" s="109"/>
      <c r="AS880" s="109"/>
      <c r="AT880" s="109"/>
      <c r="AU880" s="109"/>
      <c r="AV880" s="109"/>
      <c r="AW880" s="109"/>
      <c r="AX880" s="109"/>
      <c r="AY880" s="109"/>
      <c r="AZ880" s="109"/>
      <c r="BA880" s="109"/>
      <c r="BB880" s="109"/>
      <c r="BC880" s="109"/>
      <c r="BD880" s="109"/>
      <c r="BE880" s="109"/>
      <c r="BF880" s="109"/>
      <c r="BG880" s="109"/>
      <c r="BH880" s="109"/>
      <c r="BI880" s="109"/>
      <c r="BJ880" s="109"/>
      <c r="BK880" s="109"/>
      <c r="BL880" s="109"/>
      <c r="BM880" s="109"/>
      <c r="BN880" s="109"/>
      <c r="BO880" s="109"/>
      <c r="BP880" s="109"/>
      <c r="BQ880" s="109"/>
      <c r="BR880" s="109"/>
      <c r="BS880" s="109"/>
      <c r="BT880" s="109"/>
      <c r="BU880" s="109"/>
    </row>
    <row r="881" ht="15.75" customHeight="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10"/>
      <c r="X881" s="109"/>
      <c r="Y881" s="109"/>
      <c r="Z881" s="109"/>
      <c r="AA881" s="109"/>
      <c r="AB881" s="109"/>
      <c r="AC881" s="109"/>
      <c r="AD881" s="109"/>
      <c r="AE881" s="109"/>
      <c r="AF881" s="109"/>
      <c r="AG881" s="109"/>
      <c r="AH881" s="109"/>
      <c r="AI881" s="109"/>
      <c r="AJ881" s="109"/>
      <c r="AK881" s="109"/>
      <c r="AL881" s="109"/>
      <c r="AM881" s="109"/>
      <c r="AN881" s="109"/>
      <c r="AO881" s="109"/>
      <c r="AP881" s="109"/>
      <c r="AQ881" s="109"/>
      <c r="AR881" s="109"/>
      <c r="AS881" s="109"/>
      <c r="AT881" s="109"/>
      <c r="AU881" s="109"/>
      <c r="AV881" s="109"/>
      <c r="AW881" s="109"/>
      <c r="AX881" s="109"/>
      <c r="AY881" s="109"/>
      <c r="AZ881" s="109"/>
      <c r="BA881" s="109"/>
      <c r="BB881" s="109"/>
      <c r="BC881" s="109"/>
      <c r="BD881" s="109"/>
      <c r="BE881" s="109"/>
      <c r="BF881" s="109"/>
      <c r="BG881" s="109"/>
      <c r="BH881" s="109"/>
      <c r="BI881" s="109"/>
      <c r="BJ881" s="109"/>
      <c r="BK881" s="109"/>
      <c r="BL881" s="109"/>
      <c r="BM881" s="109"/>
      <c r="BN881" s="109"/>
      <c r="BO881" s="109"/>
      <c r="BP881" s="109"/>
      <c r="BQ881" s="109"/>
      <c r="BR881" s="109"/>
      <c r="BS881" s="109"/>
      <c r="BT881" s="109"/>
      <c r="BU881" s="109"/>
    </row>
    <row r="882" ht="15.75" customHeight="1">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10"/>
      <c r="X882" s="109"/>
      <c r="Y882" s="109"/>
      <c r="Z882" s="109"/>
      <c r="AA882" s="109"/>
      <c r="AB882" s="109"/>
      <c r="AC882" s="109"/>
      <c r="AD882" s="109"/>
      <c r="AE882" s="109"/>
      <c r="AF882" s="109"/>
      <c r="AG882" s="109"/>
      <c r="AH882" s="109"/>
      <c r="AI882" s="109"/>
      <c r="AJ882" s="109"/>
      <c r="AK882" s="109"/>
      <c r="AL882" s="109"/>
      <c r="AM882" s="109"/>
      <c r="AN882" s="109"/>
      <c r="AO882" s="109"/>
      <c r="AP882" s="109"/>
      <c r="AQ882" s="109"/>
      <c r="AR882" s="109"/>
      <c r="AS882" s="109"/>
      <c r="AT882" s="109"/>
      <c r="AU882" s="109"/>
      <c r="AV882" s="109"/>
      <c r="AW882" s="109"/>
      <c r="AX882" s="109"/>
      <c r="AY882" s="109"/>
      <c r="AZ882" s="109"/>
      <c r="BA882" s="109"/>
      <c r="BB882" s="109"/>
      <c r="BC882" s="109"/>
      <c r="BD882" s="109"/>
      <c r="BE882" s="109"/>
      <c r="BF882" s="109"/>
      <c r="BG882" s="109"/>
      <c r="BH882" s="109"/>
      <c r="BI882" s="109"/>
      <c r="BJ882" s="109"/>
      <c r="BK882" s="109"/>
      <c r="BL882" s="109"/>
      <c r="BM882" s="109"/>
      <c r="BN882" s="109"/>
      <c r="BO882" s="109"/>
      <c r="BP882" s="109"/>
      <c r="BQ882" s="109"/>
      <c r="BR882" s="109"/>
      <c r="BS882" s="109"/>
      <c r="BT882" s="109"/>
      <c r="BU882" s="109"/>
    </row>
    <row r="883" ht="15.75" customHeight="1">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10"/>
      <c r="X883" s="109"/>
      <c r="Y883" s="109"/>
      <c r="Z883" s="109"/>
      <c r="AA883" s="109"/>
      <c r="AB883" s="109"/>
      <c r="AC883" s="109"/>
      <c r="AD883" s="109"/>
      <c r="AE883" s="109"/>
      <c r="AF883" s="109"/>
      <c r="AG883" s="109"/>
      <c r="AH883" s="109"/>
      <c r="AI883" s="109"/>
      <c r="AJ883" s="109"/>
      <c r="AK883" s="109"/>
      <c r="AL883" s="109"/>
      <c r="AM883" s="109"/>
      <c r="AN883" s="109"/>
      <c r="AO883" s="109"/>
      <c r="AP883" s="109"/>
      <c r="AQ883" s="109"/>
      <c r="AR883" s="109"/>
      <c r="AS883" s="109"/>
      <c r="AT883" s="109"/>
      <c r="AU883" s="109"/>
      <c r="AV883" s="109"/>
      <c r="AW883" s="109"/>
      <c r="AX883" s="109"/>
      <c r="AY883" s="109"/>
      <c r="AZ883" s="109"/>
      <c r="BA883" s="109"/>
      <c r="BB883" s="109"/>
      <c r="BC883" s="109"/>
      <c r="BD883" s="109"/>
      <c r="BE883" s="109"/>
      <c r="BF883" s="109"/>
      <c r="BG883" s="109"/>
      <c r="BH883" s="109"/>
      <c r="BI883" s="109"/>
      <c r="BJ883" s="109"/>
      <c r="BK883" s="109"/>
      <c r="BL883" s="109"/>
      <c r="BM883" s="109"/>
      <c r="BN883" s="109"/>
      <c r="BO883" s="109"/>
      <c r="BP883" s="109"/>
      <c r="BQ883" s="109"/>
      <c r="BR883" s="109"/>
      <c r="BS883" s="109"/>
      <c r="BT883" s="109"/>
      <c r="BU883" s="109"/>
    </row>
    <row r="884" ht="15.75" customHeight="1">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10"/>
      <c r="X884" s="109"/>
      <c r="Y884" s="109"/>
      <c r="Z884" s="109"/>
      <c r="AA884" s="109"/>
      <c r="AB884" s="109"/>
      <c r="AC884" s="109"/>
      <c r="AD884" s="109"/>
      <c r="AE884" s="109"/>
      <c r="AF884" s="109"/>
      <c r="AG884" s="109"/>
      <c r="AH884" s="109"/>
      <c r="AI884" s="109"/>
      <c r="AJ884" s="109"/>
      <c r="AK884" s="109"/>
      <c r="AL884" s="109"/>
      <c r="AM884" s="109"/>
      <c r="AN884" s="109"/>
      <c r="AO884" s="109"/>
      <c r="AP884" s="109"/>
      <c r="AQ884" s="109"/>
      <c r="AR884" s="109"/>
      <c r="AS884" s="109"/>
      <c r="AT884" s="109"/>
      <c r="AU884" s="109"/>
      <c r="AV884" s="109"/>
      <c r="AW884" s="109"/>
      <c r="AX884" s="109"/>
      <c r="AY884" s="109"/>
      <c r="AZ884" s="109"/>
      <c r="BA884" s="109"/>
      <c r="BB884" s="109"/>
      <c r="BC884" s="109"/>
      <c r="BD884" s="109"/>
      <c r="BE884" s="109"/>
      <c r="BF884" s="109"/>
      <c r="BG884" s="109"/>
      <c r="BH884" s="109"/>
      <c r="BI884" s="109"/>
      <c r="BJ884" s="109"/>
      <c r="BK884" s="109"/>
      <c r="BL884" s="109"/>
      <c r="BM884" s="109"/>
      <c r="BN884" s="109"/>
      <c r="BO884" s="109"/>
      <c r="BP884" s="109"/>
      <c r="BQ884" s="109"/>
      <c r="BR884" s="109"/>
      <c r="BS884" s="109"/>
      <c r="BT884" s="109"/>
      <c r="BU884" s="109"/>
    </row>
    <row r="885" ht="15.75" customHeight="1">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10"/>
      <c r="X885" s="109"/>
      <c r="Y885" s="109"/>
      <c r="Z885" s="109"/>
      <c r="AA885" s="109"/>
      <c r="AB885" s="109"/>
      <c r="AC885" s="109"/>
      <c r="AD885" s="109"/>
      <c r="AE885" s="109"/>
      <c r="AF885" s="109"/>
      <c r="AG885" s="109"/>
      <c r="AH885" s="109"/>
      <c r="AI885" s="109"/>
      <c r="AJ885" s="109"/>
      <c r="AK885" s="109"/>
      <c r="AL885" s="109"/>
      <c r="AM885" s="109"/>
      <c r="AN885" s="109"/>
      <c r="AO885" s="109"/>
      <c r="AP885" s="109"/>
      <c r="AQ885" s="109"/>
      <c r="AR885" s="109"/>
      <c r="AS885" s="109"/>
      <c r="AT885" s="109"/>
      <c r="AU885" s="109"/>
      <c r="AV885" s="109"/>
      <c r="AW885" s="109"/>
      <c r="AX885" s="109"/>
      <c r="AY885" s="109"/>
      <c r="AZ885" s="109"/>
      <c r="BA885" s="109"/>
      <c r="BB885" s="109"/>
      <c r="BC885" s="109"/>
      <c r="BD885" s="109"/>
      <c r="BE885" s="109"/>
      <c r="BF885" s="109"/>
      <c r="BG885" s="109"/>
      <c r="BH885" s="109"/>
      <c r="BI885" s="109"/>
      <c r="BJ885" s="109"/>
      <c r="BK885" s="109"/>
      <c r="BL885" s="109"/>
      <c r="BM885" s="109"/>
      <c r="BN885" s="109"/>
      <c r="BO885" s="109"/>
      <c r="BP885" s="109"/>
      <c r="BQ885" s="109"/>
      <c r="BR885" s="109"/>
      <c r="BS885" s="109"/>
      <c r="BT885" s="109"/>
      <c r="BU885" s="109"/>
    </row>
    <row r="886" ht="15.75" customHeight="1">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10"/>
      <c r="X886" s="109"/>
      <c r="Y886" s="109"/>
      <c r="Z886" s="109"/>
      <c r="AA886" s="109"/>
      <c r="AB886" s="109"/>
      <c r="AC886" s="109"/>
      <c r="AD886" s="109"/>
      <c r="AE886" s="109"/>
      <c r="AF886" s="109"/>
      <c r="AG886" s="109"/>
      <c r="AH886" s="109"/>
      <c r="AI886" s="109"/>
      <c r="AJ886" s="109"/>
      <c r="AK886" s="109"/>
      <c r="AL886" s="109"/>
      <c r="AM886" s="109"/>
      <c r="AN886" s="109"/>
      <c r="AO886" s="109"/>
      <c r="AP886" s="109"/>
      <c r="AQ886" s="109"/>
      <c r="AR886" s="109"/>
      <c r="AS886" s="109"/>
      <c r="AT886" s="109"/>
      <c r="AU886" s="109"/>
      <c r="AV886" s="109"/>
      <c r="AW886" s="109"/>
      <c r="AX886" s="109"/>
      <c r="AY886" s="109"/>
      <c r="AZ886" s="109"/>
      <c r="BA886" s="109"/>
      <c r="BB886" s="109"/>
      <c r="BC886" s="109"/>
      <c r="BD886" s="109"/>
      <c r="BE886" s="109"/>
      <c r="BF886" s="109"/>
      <c r="BG886" s="109"/>
      <c r="BH886" s="109"/>
      <c r="BI886" s="109"/>
      <c r="BJ886" s="109"/>
      <c r="BK886" s="109"/>
      <c r="BL886" s="109"/>
      <c r="BM886" s="109"/>
      <c r="BN886" s="109"/>
      <c r="BO886" s="109"/>
      <c r="BP886" s="109"/>
      <c r="BQ886" s="109"/>
      <c r="BR886" s="109"/>
      <c r="BS886" s="109"/>
      <c r="BT886" s="109"/>
      <c r="BU886" s="109"/>
    </row>
    <row r="887" ht="15.75" customHeight="1">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10"/>
      <c r="X887" s="109"/>
      <c r="Y887" s="109"/>
      <c r="Z887" s="109"/>
      <c r="AA887" s="109"/>
      <c r="AB887" s="109"/>
      <c r="AC887" s="109"/>
      <c r="AD887" s="109"/>
      <c r="AE887" s="109"/>
      <c r="AF887" s="109"/>
      <c r="AG887" s="109"/>
      <c r="AH887" s="109"/>
      <c r="AI887" s="109"/>
      <c r="AJ887" s="109"/>
      <c r="AK887" s="109"/>
      <c r="AL887" s="109"/>
      <c r="AM887" s="109"/>
      <c r="AN887" s="109"/>
      <c r="AO887" s="109"/>
      <c r="AP887" s="109"/>
      <c r="AQ887" s="109"/>
      <c r="AR887" s="109"/>
      <c r="AS887" s="109"/>
      <c r="AT887" s="109"/>
      <c r="AU887" s="109"/>
      <c r="AV887" s="109"/>
      <c r="AW887" s="109"/>
      <c r="AX887" s="109"/>
      <c r="AY887" s="109"/>
      <c r="AZ887" s="109"/>
      <c r="BA887" s="109"/>
      <c r="BB887" s="109"/>
      <c r="BC887" s="109"/>
      <c r="BD887" s="109"/>
      <c r="BE887" s="109"/>
      <c r="BF887" s="109"/>
      <c r="BG887" s="109"/>
      <c r="BH887" s="109"/>
      <c r="BI887" s="109"/>
      <c r="BJ887" s="109"/>
      <c r="BK887" s="109"/>
      <c r="BL887" s="109"/>
      <c r="BM887" s="109"/>
      <c r="BN887" s="109"/>
      <c r="BO887" s="109"/>
      <c r="BP887" s="109"/>
      <c r="BQ887" s="109"/>
      <c r="BR887" s="109"/>
      <c r="BS887" s="109"/>
      <c r="BT887" s="109"/>
      <c r="BU887" s="109"/>
    </row>
    <row r="888" ht="15.75" customHeight="1">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10"/>
      <c r="X888" s="109"/>
      <c r="Y888" s="109"/>
      <c r="Z888" s="109"/>
      <c r="AA888" s="109"/>
      <c r="AB888" s="109"/>
      <c r="AC888" s="109"/>
      <c r="AD888" s="109"/>
      <c r="AE888" s="109"/>
      <c r="AF888" s="109"/>
      <c r="AG888" s="109"/>
      <c r="AH888" s="109"/>
      <c r="AI888" s="109"/>
      <c r="AJ888" s="109"/>
      <c r="AK888" s="109"/>
      <c r="AL888" s="109"/>
      <c r="AM888" s="109"/>
      <c r="AN888" s="109"/>
      <c r="AO888" s="109"/>
      <c r="AP888" s="109"/>
      <c r="AQ888" s="109"/>
      <c r="AR888" s="109"/>
      <c r="AS888" s="109"/>
      <c r="AT888" s="109"/>
      <c r="AU888" s="109"/>
      <c r="AV888" s="109"/>
      <c r="AW888" s="109"/>
      <c r="AX888" s="109"/>
      <c r="AY888" s="109"/>
      <c r="AZ888" s="109"/>
      <c r="BA888" s="109"/>
      <c r="BB888" s="109"/>
      <c r="BC888" s="109"/>
      <c r="BD888" s="109"/>
      <c r="BE888" s="109"/>
      <c r="BF888" s="109"/>
      <c r="BG888" s="109"/>
      <c r="BH888" s="109"/>
      <c r="BI888" s="109"/>
      <c r="BJ888" s="109"/>
      <c r="BK888" s="109"/>
      <c r="BL888" s="109"/>
      <c r="BM888" s="109"/>
      <c r="BN888" s="109"/>
      <c r="BO888" s="109"/>
      <c r="BP888" s="109"/>
      <c r="BQ888" s="109"/>
      <c r="BR888" s="109"/>
      <c r="BS888" s="109"/>
      <c r="BT888" s="109"/>
      <c r="BU888" s="109"/>
    </row>
    <row r="889" ht="15.75" customHeight="1">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10"/>
      <c r="X889" s="109"/>
      <c r="Y889" s="109"/>
      <c r="Z889" s="109"/>
      <c r="AA889" s="109"/>
      <c r="AB889" s="109"/>
      <c r="AC889" s="109"/>
      <c r="AD889" s="109"/>
      <c r="AE889" s="109"/>
      <c r="AF889" s="109"/>
      <c r="AG889" s="109"/>
      <c r="AH889" s="109"/>
      <c r="AI889" s="109"/>
      <c r="AJ889" s="109"/>
      <c r="AK889" s="109"/>
      <c r="AL889" s="109"/>
      <c r="AM889" s="109"/>
      <c r="AN889" s="109"/>
      <c r="AO889" s="109"/>
      <c r="AP889" s="109"/>
      <c r="AQ889" s="109"/>
      <c r="AR889" s="109"/>
      <c r="AS889" s="109"/>
      <c r="AT889" s="109"/>
      <c r="AU889" s="109"/>
      <c r="AV889" s="109"/>
      <c r="AW889" s="109"/>
      <c r="AX889" s="109"/>
      <c r="AY889" s="109"/>
      <c r="AZ889" s="109"/>
      <c r="BA889" s="109"/>
      <c r="BB889" s="109"/>
      <c r="BC889" s="109"/>
      <c r="BD889" s="109"/>
      <c r="BE889" s="109"/>
      <c r="BF889" s="109"/>
      <c r="BG889" s="109"/>
      <c r="BH889" s="109"/>
      <c r="BI889" s="109"/>
      <c r="BJ889" s="109"/>
      <c r="BK889" s="109"/>
      <c r="BL889" s="109"/>
      <c r="BM889" s="109"/>
      <c r="BN889" s="109"/>
      <c r="BO889" s="109"/>
      <c r="BP889" s="109"/>
      <c r="BQ889" s="109"/>
      <c r="BR889" s="109"/>
      <c r="BS889" s="109"/>
      <c r="BT889" s="109"/>
      <c r="BU889" s="109"/>
    </row>
    <row r="890" ht="15.75" customHeight="1">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10"/>
      <c r="X890" s="109"/>
      <c r="Y890" s="109"/>
      <c r="Z890" s="109"/>
      <c r="AA890" s="109"/>
      <c r="AB890" s="109"/>
      <c r="AC890" s="109"/>
      <c r="AD890" s="109"/>
      <c r="AE890" s="109"/>
      <c r="AF890" s="109"/>
      <c r="AG890" s="109"/>
      <c r="AH890" s="109"/>
      <c r="AI890" s="109"/>
      <c r="AJ890" s="109"/>
      <c r="AK890" s="109"/>
      <c r="AL890" s="109"/>
      <c r="AM890" s="109"/>
      <c r="AN890" s="109"/>
      <c r="AO890" s="109"/>
      <c r="AP890" s="109"/>
      <c r="AQ890" s="109"/>
      <c r="AR890" s="109"/>
      <c r="AS890" s="109"/>
      <c r="AT890" s="109"/>
      <c r="AU890" s="109"/>
      <c r="AV890" s="109"/>
      <c r="AW890" s="109"/>
      <c r="AX890" s="109"/>
      <c r="AY890" s="109"/>
      <c r="AZ890" s="109"/>
      <c r="BA890" s="109"/>
      <c r="BB890" s="109"/>
      <c r="BC890" s="109"/>
      <c r="BD890" s="109"/>
      <c r="BE890" s="109"/>
      <c r="BF890" s="109"/>
      <c r="BG890" s="109"/>
      <c r="BH890" s="109"/>
      <c r="BI890" s="109"/>
      <c r="BJ890" s="109"/>
      <c r="BK890" s="109"/>
      <c r="BL890" s="109"/>
      <c r="BM890" s="109"/>
      <c r="BN890" s="109"/>
      <c r="BO890" s="109"/>
      <c r="BP890" s="109"/>
      <c r="BQ890" s="109"/>
      <c r="BR890" s="109"/>
      <c r="BS890" s="109"/>
      <c r="BT890" s="109"/>
      <c r="BU890" s="109"/>
    </row>
    <row r="891" ht="15.75" customHeight="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10"/>
      <c r="X891" s="109"/>
      <c r="Y891" s="109"/>
      <c r="Z891" s="109"/>
      <c r="AA891" s="109"/>
      <c r="AB891" s="109"/>
      <c r="AC891" s="109"/>
      <c r="AD891" s="109"/>
      <c r="AE891" s="109"/>
      <c r="AF891" s="109"/>
      <c r="AG891" s="109"/>
      <c r="AH891" s="109"/>
      <c r="AI891" s="109"/>
      <c r="AJ891" s="109"/>
      <c r="AK891" s="109"/>
      <c r="AL891" s="109"/>
      <c r="AM891" s="109"/>
      <c r="AN891" s="109"/>
      <c r="AO891" s="109"/>
      <c r="AP891" s="109"/>
      <c r="AQ891" s="109"/>
      <c r="AR891" s="109"/>
      <c r="AS891" s="109"/>
      <c r="AT891" s="109"/>
      <c r="AU891" s="109"/>
      <c r="AV891" s="109"/>
      <c r="AW891" s="109"/>
      <c r="AX891" s="109"/>
      <c r="AY891" s="109"/>
      <c r="AZ891" s="109"/>
      <c r="BA891" s="109"/>
      <c r="BB891" s="109"/>
      <c r="BC891" s="109"/>
      <c r="BD891" s="109"/>
      <c r="BE891" s="109"/>
      <c r="BF891" s="109"/>
      <c r="BG891" s="109"/>
      <c r="BH891" s="109"/>
      <c r="BI891" s="109"/>
      <c r="BJ891" s="109"/>
      <c r="BK891" s="109"/>
      <c r="BL891" s="109"/>
      <c r="BM891" s="109"/>
      <c r="BN891" s="109"/>
      <c r="BO891" s="109"/>
      <c r="BP891" s="109"/>
      <c r="BQ891" s="109"/>
      <c r="BR891" s="109"/>
      <c r="BS891" s="109"/>
      <c r="BT891" s="109"/>
      <c r="BU891" s="109"/>
    </row>
    <row r="892" ht="15.75" customHeight="1">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10"/>
      <c r="X892" s="109"/>
      <c r="Y892" s="109"/>
      <c r="Z892" s="109"/>
      <c r="AA892" s="109"/>
      <c r="AB892" s="109"/>
      <c r="AC892" s="109"/>
      <c r="AD892" s="109"/>
      <c r="AE892" s="109"/>
      <c r="AF892" s="109"/>
      <c r="AG892" s="109"/>
      <c r="AH892" s="109"/>
      <c r="AI892" s="109"/>
      <c r="AJ892" s="109"/>
      <c r="AK892" s="109"/>
      <c r="AL892" s="109"/>
      <c r="AM892" s="109"/>
      <c r="AN892" s="109"/>
      <c r="AO892" s="109"/>
      <c r="AP892" s="109"/>
      <c r="AQ892" s="109"/>
      <c r="AR892" s="109"/>
      <c r="AS892" s="109"/>
      <c r="AT892" s="109"/>
      <c r="AU892" s="109"/>
      <c r="AV892" s="109"/>
      <c r="AW892" s="109"/>
      <c r="AX892" s="109"/>
      <c r="AY892" s="109"/>
      <c r="AZ892" s="109"/>
      <c r="BA892" s="109"/>
      <c r="BB892" s="109"/>
      <c r="BC892" s="109"/>
      <c r="BD892" s="109"/>
      <c r="BE892" s="109"/>
      <c r="BF892" s="109"/>
      <c r="BG892" s="109"/>
      <c r="BH892" s="109"/>
      <c r="BI892" s="109"/>
      <c r="BJ892" s="109"/>
      <c r="BK892" s="109"/>
      <c r="BL892" s="109"/>
      <c r="BM892" s="109"/>
      <c r="BN892" s="109"/>
      <c r="BO892" s="109"/>
      <c r="BP892" s="109"/>
      <c r="BQ892" s="109"/>
      <c r="BR892" s="109"/>
      <c r="BS892" s="109"/>
      <c r="BT892" s="109"/>
      <c r="BU892" s="109"/>
    </row>
    <row r="893" ht="15.75" customHeight="1">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10"/>
      <c r="X893" s="109"/>
      <c r="Y893" s="109"/>
      <c r="Z893" s="109"/>
      <c r="AA893" s="109"/>
      <c r="AB893" s="109"/>
      <c r="AC893" s="109"/>
      <c r="AD893" s="109"/>
      <c r="AE893" s="109"/>
      <c r="AF893" s="109"/>
      <c r="AG893" s="109"/>
      <c r="AH893" s="109"/>
      <c r="AI893" s="109"/>
      <c r="AJ893" s="109"/>
      <c r="AK893" s="109"/>
      <c r="AL893" s="109"/>
      <c r="AM893" s="109"/>
      <c r="AN893" s="109"/>
      <c r="AO893" s="109"/>
      <c r="AP893" s="109"/>
      <c r="AQ893" s="109"/>
      <c r="AR893" s="109"/>
      <c r="AS893" s="109"/>
      <c r="AT893" s="109"/>
      <c r="AU893" s="109"/>
      <c r="AV893" s="109"/>
      <c r="AW893" s="109"/>
      <c r="AX893" s="109"/>
      <c r="AY893" s="109"/>
      <c r="AZ893" s="109"/>
      <c r="BA893" s="109"/>
      <c r="BB893" s="109"/>
      <c r="BC893" s="109"/>
      <c r="BD893" s="109"/>
      <c r="BE893" s="109"/>
      <c r="BF893" s="109"/>
      <c r="BG893" s="109"/>
      <c r="BH893" s="109"/>
      <c r="BI893" s="109"/>
      <c r="BJ893" s="109"/>
      <c r="BK893" s="109"/>
      <c r="BL893" s="109"/>
      <c r="BM893" s="109"/>
      <c r="BN893" s="109"/>
      <c r="BO893" s="109"/>
      <c r="BP893" s="109"/>
      <c r="BQ893" s="109"/>
      <c r="BR893" s="109"/>
      <c r="BS893" s="109"/>
      <c r="BT893" s="109"/>
      <c r="BU893" s="109"/>
    </row>
    <row r="894" ht="15.75" customHeight="1">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10"/>
      <c r="X894" s="109"/>
      <c r="Y894" s="109"/>
      <c r="Z894" s="109"/>
      <c r="AA894" s="109"/>
      <c r="AB894" s="109"/>
      <c r="AC894" s="109"/>
      <c r="AD894" s="109"/>
      <c r="AE894" s="109"/>
      <c r="AF894" s="109"/>
      <c r="AG894" s="109"/>
      <c r="AH894" s="109"/>
      <c r="AI894" s="109"/>
      <c r="AJ894" s="109"/>
      <c r="AK894" s="109"/>
      <c r="AL894" s="109"/>
      <c r="AM894" s="109"/>
      <c r="AN894" s="109"/>
      <c r="AO894" s="109"/>
      <c r="AP894" s="109"/>
      <c r="AQ894" s="109"/>
      <c r="AR894" s="109"/>
      <c r="AS894" s="109"/>
      <c r="AT894" s="109"/>
      <c r="AU894" s="109"/>
      <c r="AV894" s="109"/>
      <c r="AW894" s="109"/>
      <c r="AX894" s="109"/>
      <c r="AY894" s="109"/>
      <c r="AZ894" s="109"/>
      <c r="BA894" s="109"/>
      <c r="BB894" s="109"/>
      <c r="BC894" s="109"/>
      <c r="BD894" s="109"/>
      <c r="BE894" s="109"/>
      <c r="BF894" s="109"/>
      <c r="BG894" s="109"/>
      <c r="BH894" s="109"/>
      <c r="BI894" s="109"/>
      <c r="BJ894" s="109"/>
      <c r="BK894" s="109"/>
      <c r="BL894" s="109"/>
      <c r="BM894" s="109"/>
      <c r="BN894" s="109"/>
      <c r="BO894" s="109"/>
      <c r="BP894" s="109"/>
      <c r="BQ894" s="109"/>
      <c r="BR894" s="109"/>
      <c r="BS894" s="109"/>
      <c r="BT894" s="109"/>
      <c r="BU894" s="109"/>
    </row>
    <row r="895" ht="15.75" customHeight="1">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10"/>
      <c r="X895" s="109"/>
      <c r="Y895" s="109"/>
      <c r="Z895" s="109"/>
      <c r="AA895" s="109"/>
      <c r="AB895" s="109"/>
      <c r="AC895" s="109"/>
      <c r="AD895" s="109"/>
      <c r="AE895" s="109"/>
      <c r="AF895" s="109"/>
      <c r="AG895" s="109"/>
      <c r="AH895" s="109"/>
      <c r="AI895" s="109"/>
      <c r="AJ895" s="109"/>
      <c r="AK895" s="109"/>
      <c r="AL895" s="109"/>
      <c r="AM895" s="109"/>
      <c r="AN895" s="109"/>
      <c r="AO895" s="109"/>
      <c r="AP895" s="109"/>
      <c r="AQ895" s="109"/>
      <c r="AR895" s="109"/>
      <c r="AS895" s="109"/>
      <c r="AT895" s="109"/>
      <c r="AU895" s="109"/>
      <c r="AV895" s="109"/>
      <c r="AW895" s="109"/>
      <c r="AX895" s="109"/>
      <c r="AY895" s="109"/>
      <c r="AZ895" s="109"/>
      <c r="BA895" s="109"/>
      <c r="BB895" s="109"/>
      <c r="BC895" s="109"/>
      <c r="BD895" s="109"/>
      <c r="BE895" s="109"/>
      <c r="BF895" s="109"/>
      <c r="BG895" s="109"/>
      <c r="BH895" s="109"/>
      <c r="BI895" s="109"/>
      <c r="BJ895" s="109"/>
      <c r="BK895" s="109"/>
      <c r="BL895" s="109"/>
      <c r="BM895" s="109"/>
      <c r="BN895" s="109"/>
      <c r="BO895" s="109"/>
      <c r="BP895" s="109"/>
      <c r="BQ895" s="109"/>
      <c r="BR895" s="109"/>
      <c r="BS895" s="109"/>
      <c r="BT895" s="109"/>
      <c r="BU895" s="109"/>
    </row>
    <row r="896" ht="15.75" customHeight="1">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10"/>
      <c r="X896" s="109"/>
      <c r="Y896" s="109"/>
      <c r="Z896" s="109"/>
      <c r="AA896" s="109"/>
      <c r="AB896" s="109"/>
      <c r="AC896" s="109"/>
      <c r="AD896" s="109"/>
      <c r="AE896" s="109"/>
      <c r="AF896" s="109"/>
      <c r="AG896" s="109"/>
      <c r="AH896" s="109"/>
      <c r="AI896" s="109"/>
      <c r="AJ896" s="109"/>
      <c r="AK896" s="109"/>
      <c r="AL896" s="109"/>
      <c r="AM896" s="109"/>
      <c r="AN896" s="109"/>
      <c r="AO896" s="109"/>
      <c r="AP896" s="109"/>
      <c r="AQ896" s="109"/>
      <c r="AR896" s="109"/>
      <c r="AS896" s="109"/>
      <c r="AT896" s="109"/>
      <c r="AU896" s="109"/>
      <c r="AV896" s="109"/>
      <c r="AW896" s="109"/>
      <c r="AX896" s="109"/>
      <c r="AY896" s="109"/>
      <c r="AZ896" s="109"/>
      <c r="BA896" s="109"/>
      <c r="BB896" s="109"/>
      <c r="BC896" s="109"/>
      <c r="BD896" s="109"/>
      <c r="BE896" s="109"/>
      <c r="BF896" s="109"/>
      <c r="BG896" s="109"/>
      <c r="BH896" s="109"/>
      <c r="BI896" s="109"/>
      <c r="BJ896" s="109"/>
      <c r="BK896" s="109"/>
      <c r="BL896" s="109"/>
      <c r="BM896" s="109"/>
      <c r="BN896" s="109"/>
      <c r="BO896" s="109"/>
      <c r="BP896" s="109"/>
      <c r="BQ896" s="109"/>
      <c r="BR896" s="109"/>
      <c r="BS896" s="109"/>
      <c r="BT896" s="109"/>
      <c r="BU896" s="109"/>
    </row>
    <row r="897" ht="15.75" customHeight="1">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10"/>
      <c r="X897" s="109"/>
      <c r="Y897" s="109"/>
      <c r="Z897" s="109"/>
      <c r="AA897" s="109"/>
      <c r="AB897" s="109"/>
      <c r="AC897" s="109"/>
      <c r="AD897" s="109"/>
      <c r="AE897" s="109"/>
      <c r="AF897" s="109"/>
      <c r="AG897" s="109"/>
      <c r="AH897" s="109"/>
      <c r="AI897" s="109"/>
      <c r="AJ897" s="109"/>
      <c r="AK897" s="109"/>
      <c r="AL897" s="109"/>
      <c r="AM897" s="109"/>
      <c r="AN897" s="109"/>
      <c r="AO897" s="109"/>
      <c r="AP897" s="109"/>
      <c r="AQ897" s="109"/>
      <c r="AR897" s="109"/>
      <c r="AS897" s="109"/>
      <c r="AT897" s="109"/>
      <c r="AU897" s="109"/>
      <c r="AV897" s="109"/>
      <c r="AW897" s="109"/>
      <c r="AX897" s="109"/>
      <c r="AY897" s="109"/>
      <c r="AZ897" s="109"/>
      <c r="BA897" s="109"/>
      <c r="BB897" s="109"/>
      <c r="BC897" s="109"/>
      <c r="BD897" s="109"/>
      <c r="BE897" s="109"/>
      <c r="BF897" s="109"/>
      <c r="BG897" s="109"/>
      <c r="BH897" s="109"/>
      <c r="BI897" s="109"/>
      <c r="BJ897" s="109"/>
      <c r="BK897" s="109"/>
      <c r="BL897" s="109"/>
      <c r="BM897" s="109"/>
      <c r="BN897" s="109"/>
      <c r="BO897" s="109"/>
      <c r="BP897" s="109"/>
      <c r="BQ897" s="109"/>
      <c r="BR897" s="109"/>
      <c r="BS897" s="109"/>
      <c r="BT897" s="109"/>
      <c r="BU897" s="109"/>
    </row>
    <row r="898" ht="15.75" customHeight="1">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10"/>
      <c r="X898" s="109"/>
      <c r="Y898" s="109"/>
      <c r="Z898" s="109"/>
      <c r="AA898" s="109"/>
      <c r="AB898" s="109"/>
      <c r="AC898" s="109"/>
      <c r="AD898" s="109"/>
      <c r="AE898" s="109"/>
      <c r="AF898" s="109"/>
      <c r="AG898" s="109"/>
      <c r="AH898" s="109"/>
      <c r="AI898" s="109"/>
      <c r="AJ898" s="109"/>
      <c r="AK898" s="109"/>
      <c r="AL898" s="109"/>
      <c r="AM898" s="109"/>
      <c r="AN898" s="109"/>
      <c r="AO898" s="109"/>
      <c r="AP898" s="109"/>
      <c r="AQ898" s="109"/>
      <c r="AR898" s="109"/>
      <c r="AS898" s="109"/>
      <c r="AT898" s="109"/>
      <c r="AU898" s="109"/>
      <c r="AV898" s="109"/>
      <c r="AW898" s="109"/>
      <c r="AX898" s="109"/>
      <c r="AY898" s="109"/>
      <c r="AZ898" s="109"/>
      <c r="BA898" s="109"/>
      <c r="BB898" s="109"/>
      <c r="BC898" s="109"/>
      <c r="BD898" s="109"/>
      <c r="BE898" s="109"/>
      <c r="BF898" s="109"/>
      <c r="BG898" s="109"/>
      <c r="BH898" s="109"/>
      <c r="BI898" s="109"/>
      <c r="BJ898" s="109"/>
      <c r="BK898" s="109"/>
      <c r="BL898" s="109"/>
      <c r="BM898" s="109"/>
      <c r="BN898" s="109"/>
      <c r="BO898" s="109"/>
      <c r="BP898" s="109"/>
      <c r="BQ898" s="109"/>
      <c r="BR898" s="109"/>
      <c r="BS898" s="109"/>
      <c r="BT898" s="109"/>
      <c r="BU898" s="109"/>
    </row>
    <row r="899" ht="15.75" customHeight="1">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10"/>
      <c r="X899" s="109"/>
      <c r="Y899" s="109"/>
      <c r="Z899" s="109"/>
      <c r="AA899" s="109"/>
      <c r="AB899" s="109"/>
      <c r="AC899" s="109"/>
      <c r="AD899" s="109"/>
      <c r="AE899" s="109"/>
      <c r="AF899" s="109"/>
      <c r="AG899" s="109"/>
      <c r="AH899" s="109"/>
      <c r="AI899" s="109"/>
      <c r="AJ899" s="109"/>
      <c r="AK899" s="109"/>
      <c r="AL899" s="109"/>
      <c r="AM899" s="109"/>
      <c r="AN899" s="109"/>
      <c r="AO899" s="109"/>
      <c r="AP899" s="109"/>
      <c r="AQ899" s="109"/>
      <c r="AR899" s="109"/>
      <c r="AS899" s="109"/>
      <c r="AT899" s="109"/>
      <c r="AU899" s="109"/>
      <c r="AV899" s="109"/>
      <c r="AW899" s="109"/>
      <c r="AX899" s="109"/>
      <c r="AY899" s="109"/>
      <c r="AZ899" s="109"/>
      <c r="BA899" s="109"/>
      <c r="BB899" s="109"/>
      <c r="BC899" s="109"/>
      <c r="BD899" s="109"/>
      <c r="BE899" s="109"/>
      <c r="BF899" s="109"/>
      <c r="BG899" s="109"/>
      <c r="BH899" s="109"/>
      <c r="BI899" s="109"/>
      <c r="BJ899" s="109"/>
      <c r="BK899" s="109"/>
      <c r="BL899" s="109"/>
      <c r="BM899" s="109"/>
      <c r="BN899" s="109"/>
      <c r="BO899" s="109"/>
      <c r="BP899" s="109"/>
      <c r="BQ899" s="109"/>
      <c r="BR899" s="109"/>
      <c r="BS899" s="109"/>
      <c r="BT899" s="109"/>
      <c r="BU899" s="109"/>
    </row>
    <row r="900" ht="15.75" customHeight="1">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10"/>
      <c r="X900" s="109"/>
      <c r="Y900" s="109"/>
      <c r="Z900" s="109"/>
      <c r="AA900" s="109"/>
      <c r="AB900" s="109"/>
      <c r="AC900" s="109"/>
      <c r="AD900" s="109"/>
      <c r="AE900" s="109"/>
      <c r="AF900" s="109"/>
      <c r="AG900" s="109"/>
      <c r="AH900" s="109"/>
      <c r="AI900" s="109"/>
      <c r="AJ900" s="109"/>
      <c r="AK900" s="109"/>
      <c r="AL900" s="109"/>
      <c r="AM900" s="109"/>
      <c r="AN900" s="109"/>
      <c r="AO900" s="109"/>
      <c r="AP900" s="109"/>
      <c r="AQ900" s="109"/>
      <c r="AR900" s="109"/>
      <c r="AS900" s="109"/>
      <c r="AT900" s="109"/>
      <c r="AU900" s="109"/>
      <c r="AV900" s="109"/>
      <c r="AW900" s="109"/>
      <c r="AX900" s="109"/>
      <c r="AY900" s="109"/>
      <c r="AZ900" s="109"/>
      <c r="BA900" s="109"/>
      <c r="BB900" s="109"/>
      <c r="BC900" s="109"/>
      <c r="BD900" s="109"/>
      <c r="BE900" s="109"/>
      <c r="BF900" s="109"/>
      <c r="BG900" s="109"/>
      <c r="BH900" s="109"/>
      <c r="BI900" s="109"/>
      <c r="BJ900" s="109"/>
      <c r="BK900" s="109"/>
      <c r="BL900" s="109"/>
      <c r="BM900" s="109"/>
      <c r="BN900" s="109"/>
      <c r="BO900" s="109"/>
      <c r="BP900" s="109"/>
      <c r="BQ900" s="109"/>
      <c r="BR900" s="109"/>
      <c r="BS900" s="109"/>
      <c r="BT900" s="109"/>
      <c r="BU900" s="109"/>
    </row>
    <row r="901" ht="15.75" customHeight="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10"/>
      <c r="X901" s="109"/>
      <c r="Y901" s="109"/>
      <c r="Z901" s="109"/>
      <c r="AA901" s="109"/>
      <c r="AB901" s="109"/>
      <c r="AC901" s="109"/>
      <c r="AD901" s="109"/>
      <c r="AE901" s="109"/>
      <c r="AF901" s="109"/>
      <c r="AG901" s="109"/>
      <c r="AH901" s="109"/>
      <c r="AI901" s="109"/>
      <c r="AJ901" s="109"/>
      <c r="AK901" s="109"/>
      <c r="AL901" s="109"/>
      <c r="AM901" s="109"/>
      <c r="AN901" s="109"/>
      <c r="AO901" s="109"/>
      <c r="AP901" s="109"/>
      <c r="AQ901" s="109"/>
      <c r="AR901" s="109"/>
      <c r="AS901" s="109"/>
      <c r="AT901" s="109"/>
      <c r="AU901" s="109"/>
      <c r="AV901" s="109"/>
      <c r="AW901" s="109"/>
      <c r="AX901" s="109"/>
      <c r="AY901" s="109"/>
      <c r="AZ901" s="109"/>
      <c r="BA901" s="109"/>
      <c r="BB901" s="109"/>
      <c r="BC901" s="109"/>
      <c r="BD901" s="109"/>
      <c r="BE901" s="109"/>
      <c r="BF901" s="109"/>
      <c r="BG901" s="109"/>
      <c r="BH901" s="109"/>
      <c r="BI901" s="109"/>
      <c r="BJ901" s="109"/>
      <c r="BK901" s="109"/>
      <c r="BL901" s="109"/>
      <c r="BM901" s="109"/>
      <c r="BN901" s="109"/>
      <c r="BO901" s="109"/>
      <c r="BP901" s="109"/>
      <c r="BQ901" s="109"/>
      <c r="BR901" s="109"/>
      <c r="BS901" s="109"/>
      <c r="BT901" s="109"/>
      <c r="BU901" s="109"/>
    </row>
    <row r="902" ht="15.75" customHeight="1">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10"/>
      <c r="X902" s="109"/>
      <c r="Y902" s="109"/>
      <c r="Z902" s="109"/>
      <c r="AA902" s="109"/>
      <c r="AB902" s="109"/>
      <c r="AC902" s="109"/>
      <c r="AD902" s="109"/>
      <c r="AE902" s="109"/>
      <c r="AF902" s="109"/>
      <c r="AG902" s="109"/>
      <c r="AH902" s="109"/>
      <c r="AI902" s="109"/>
      <c r="AJ902" s="109"/>
      <c r="AK902" s="109"/>
      <c r="AL902" s="109"/>
      <c r="AM902" s="109"/>
      <c r="AN902" s="109"/>
      <c r="AO902" s="109"/>
      <c r="AP902" s="109"/>
      <c r="AQ902" s="109"/>
      <c r="AR902" s="109"/>
      <c r="AS902" s="109"/>
      <c r="AT902" s="109"/>
      <c r="AU902" s="109"/>
      <c r="AV902" s="109"/>
      <c r="AW902" s="109"/>
      <c r="AX902" s="109"/>
      <c r="AY902" s="109"/>
      <c r="AZ902" s="109"/>
      <c r="BA902" s="109"/>
      <c r="BB902" s="109"/>
      <c r="BC902" s="109"/>
      <c r="BD902" s="109"/>
      <c r="BE902" s="109"/>
      <c r="BF902" s="109"/>
      <c r="BG902" s="109"/>
      <c r="BH902" s="109"/>
      <c r="BI902" s="109"/>
      <c r="BJ902" s="109"/>
      <c r="BK902" s="109"/>
      <c r="BL902" s="109"/>
      <c r="BM902" s="109"/>
      <c r="BN902" s="109"/>
      <c r="BO902" s="109"/>
      <c r="BP902" s="109"/>
      <c r="BQ902" s="109"/>
      <c r="BR902" s="109"/>
      <c r="BS902" s="109"/>
      <c r="BT902" s="109"/>
      <c r="BU902" s="109"/>
    </row>
    <row r="903" ht="15.75" customHeight="1">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10"/>
      <c r="X903" s="109"/>
      <c r="Y903" s="109"/>
      <c r="Z903" s="109"/>
      <c r="AA903" s="109"/>
      <c r="AB903" s="109"/>
      <c r="AC903" s="109"/>
      <c r="AD903" s="109"/>
      <c r="AE903" s="109"/>
      <c r="AF903" s="109"/>
      <c r="AG903" s="109"/>
      <c r="AH903" s="109"/>
      <c r="AI903" s="109"/>
      <c r="AJ903" s="109"/>
      <c r="AK903" s="109"/>
      <c r="AL903" s="109"/>
      <c r="AM903" s="109"/>
      <c r="AN903" s="109"/>
      <c r="AO903" s="109"/>
      <c r="AP903" s="109"/>
      <c r="AQ903" s="109"/>
      <c r="AR903" s="109"/>
      <c r="AS903" s="109"/>
      <c r="AT903" s="109"/>
      <c r="AU903" s="109"/>
      <c r="AV903" s="109"/>
      <c r="AW903" s="109"/>
      <c r="AX903" s="109"/>
      <c r="AY903" s="109"/>
      <c r="AZ903" s="109"/>
      <c r="BA903" s="109"/>
      <c r="BB903" s="109"/>
      <c r="BC903" s="109"/>
      <c r="BD903" s="109"/>
      <c r="BE903" s="109"/>
      <c r="BF903" s="109"/>
      <c r="BG903" s="109"/>
      <c r="BH903" s="109"/>
      <c r="BI903" s="109"/>
      <c r="BJ903" s="109"/>
      <c r="BK903" s="109"/>
      <c r="BL903" s="109"/>
      <c r="BM903" s="109"/>
      <c r="BN903" s="109"/>
      <c r="BO903" s="109"/>
      <c r="BP903" s="109"/>
      <c r="BQ903" s="109"/>
      <c r="BR903" s="109"/>
      <c r="BS903" s="109"/>
      <c r="BT903" s="109"/>
      <c r="BU903" s="109"/>
    </row>
    <row r="904" ht="15.75" customHeight="1">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10"/>
      <c r="X904" s="109"/>
      <c r="Y904" s="109"/>
      <c r="Z904" s="109"/>
      <c r="AA904" s="109"/>
      <c r="AB904" s="109"/>
      <c r="AC904" s="109"/>
      <c r="AD904" s="109"/>
      <c r="AE904" s="109"/>
      <c r="AF904" s="109"/>
      <c r="AG904" s="109"/>
      <c r="AH904" s="109"/>
      <c r="AI904" s="109"/>
      <c r="AJ904" s="109"/>
      <c r="AK904" s="109"/>
      <c r="AL904" s="109"/>
      <c r="AM904" s="109"/>
      <c r="AN904" s="109"/>
      <c r="AO904" s="109"/>
      <c r="AP904" s="109"/>
      <c r="AQ904" s="109"/>
      <c r="AR904" s="109"/>
      <c r="AS904" s="109"/>
      <c r="AT904" s="109"/>
      <c r="AU904" s="109"/>
      <c r="AV904" s="109"/>
      <c r="AW904" s="109"/>
      <c r="AX904" s="109"/>
      <c r="AY904" s="109"/>
      <c r="AZ904" s="109"/>
      <c r="BA904" s="109"/>
      <c r="BB904" s="109"/>
      <c r="BC904" s="109"/>
      <c r="BD904" s="109"/>
      <c r="BE904" s="109"/>
      <c r="BF904" s="109"/>
      <c r="BG904" s="109"/>
      <c r="BH904" s="109"/>
      <c r="BI904" s="109"/>
      <c r="BJ904" s="109"/>
      <c r="BK904" s="109"/>
      <c r="BL904" s="109"/>
      <c r="BM904" s="109"/>
      <c r="BN904" s="109"/>
      <c r="BO904" s="109"/>
      <c r="BP904" s="109"/>
      <c r="BQ904" s="109"/>
      <c r="BR904" s="109"/>
      <c r="BS904" s="109"/>
      <c r="BT904" s="109"/>
      <c r="BU904" s="109"/>
    </row>
    <row r="905" ht="15.75" customHeight="1">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10"/>
      <c r="X905" s="109"/>
      <c r="Y905" s="109"/>
      <c r="Z905" s="109"/>
      <c r="AA905" s="109"/>
      <c r="AB905" s="109"/>
      <c r="AC905" s="109"/>
      <c r="AD905" s="109"/>
      <c r="AE905" s="109"/>
      <c r="AF905" s="109"/>
      <c r="AG905" s="109"/>
      <c r="AH905" s="109"/>
      <c r="AI905" s="109"/>
      <c r="AJ905" s="109"/>
      <c r="AK905" s="109"/>
      <c r="AL905" s="109"/>
      <c r="AM905" s="109"/>
      <c r="AN905" s="109"/>
      <c r="AO905" s="109"/>
      <c r="AP905" s="109"/>
      <c r="AQ905" s="109"/>
      <c r="AR905" s="109"/>
      <c r="AS905" s="109"/>
      <c r="AT905" s="109"/>
      <c r="AU905" s="109"/>
      <c r="AV905" s="109"/>
      <c r="AW905" s="109"/>
      <c r="AX905" s="109"/>
      <c r="AY905" s="109"/>
      <c r="AZ905" s="109"/>
      <c r="BA905" s="109"/>
      <c r="BB905" s="109"/>
      <c r="BC905" s="109"/>
      <c r="BD905" s="109"/>
      <c r="BE905" s="109"/>
      <c r="BF905" s="109"/>
      <c r="BG905" s="109"/>
      <c r="BH905" s="109"/>
      <c r="BI905" s="109"/>
      <c r="BJ905" s="109"/>
      <c r="BK905" s="109"/>
      <c r="BL905" s="109"/>
      <c r="BM905" s="109"/>
      <c r="BN905" s="109"/>
      <c r="BO905" s="109"/>
      <c r="BP905" s="109"/>
      <c r="BQ905" s="109"/>
      <c r="BR905" s="109"/>
      <c r="BS905" s="109"/>
      <c r="BT905" s="109"/>
      <c r="BU905" s="109"/>
    </row>
    <row r="906" ht="15.75" customHeight="1">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10"/>
      <c r="X906" s="109"/>
      <c r="Y906" s="109"/>
      <c r="Z906" s="109"/>
      <c r="AA906" s="109"/>
      <c r="AB906" s="109"/>
      <c r="AC906" s="109"/>
      <c r="AD906" s="109"/>
      <c r="AE906" s="109"/>
      <c r="AF906" s="109"/>
      <c r="AG906" s="109"/>
      <c r="AH906" s="109"/>
      <c r="AI906" s="109"/>
      <c r="AJ906" s="109"/>
      <c r="AK906" s="109"/>
      <c r="AL906" s="109"/>
      <c r="AM906" s="109"/>
      <c r="AN906" s="109"/>
      <c r="AO906" s="109"/>
      <c r="AP906" s="109"/>
      <c r="AQ906" s="109"/>
      <c r="AR906" s="109"/>
      <c r="AS906" s="109"/>
      <c r="AT906" s="109"/>
      <c r="AU906" s="109"/>
      <c r="AV906" s="109"/>
      <c r="AW906" s="109"/>
      <c r="AX906" s="109"/>
      <c r="AY906" s="109"/>
      <c r="AZ906" s="109"/>
      <c r="BA906" s="109"/>
      <c r="BB906" s="109"/>
      <c r="BC906" s="109"/>
      <c r="BD906" s="109"/>
      <c r="BE906" s="109"/>
      <c r="BF906" s="109"/>
      <c r="BG906" s="109"/>
      <c r="BH906" s="109"/>
      <c r="BI906" s="109"/>
      <c r="BJ906" s="109"/>
      <c r="BK906" s="109"/>
      <c r="BL906" s="109"/>
      <c r="BM906" s="109"/>
      <c r="BN906" s="109"/>
      <c r="BO906" s="109"/>
      <c r="BP906" s="109"/>
      <c r="BQ906" s="109"/>
      <c r="BR906" s="109"/>
      <c r="BS906" s="109"/>
      <c r="BT906" s="109"/>
      <c r="BU906" s="109"/>
    </row>
    <row r="907" ht="15.75" customHeight="1">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10"/>
      <c r="X907" s="109"/>
      <c r="Y907" s="109"/>
      <c r="Z907" s="109"/>
      <c r="AA907" s="109"/>
      <c r="AB907" s="109"/>
      <c r="AC907" s="109"/>
      <c r="AD907" s="109"/>
      <c r="AE907" s="109"/>
      <c r="AF907" s="109"/>
      <c r="AG907" s="109"/>
      <c r="AH907" s="109"/>
      <c r="AI907" s="109"/>
      <c r="AJ907" s="109"/>
      <c r="AK907" s="109"/>
      <c r="AL907" s="109"/>
      <c r="AM907" s="109"/>
      <c r="AN907" s="109"/>
      <c r="AO907" s="109"/>
      <c r="AP907" s="109"/>
      <c r="AQ907" s="109"/>
      <c r="AR907" s="109"/>
      <c r="AS907" s="109"/>
      <c r="AT907" s="109"/>
      <c r="AU907" s="109"/>
      <c r="AV907" s="109"/>
      <c r="AW907" s="109"/>
      <c r="AX907" s="109"/>
      <c r="AY907" s="109"/>
      <c r="AZ907" s="109"/>
      <c r="BA907" s="109"/>
      <c r="BB907" s="109"/>
      <c r="BC907" s="109"/>
      <c r="BD907" s="109"/>
      <c r="BE907" s="109"/>
      <c r="BF907" s="109"/>
      <c r="BG907" s="109"/>
      <c r="BH907" s="109"/>
      <c r="BI907" s="109"/>
      <c r="BJ907" s="109"/>
      <c r="BK907" s="109"/>
      <c r="BL907" s="109"/>
      <c r="BM907" s="109"/>
      <c r="BN907" s="109"/>
      <c r="BO907" s="109"/>
      <c r="BP907" s="109"/>
      <c r="BQ907" s="109"/>
      <c r="BR907" s="109"/>
      <c r="BS907" s="109"/>
      <c r="BT907" s="109"/>
      <c r="BU907" s="109"/>
    </row>
    <row r="908" ht="15.75" customHeight="1">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10"/>
      <c r="X908" s="109"/>
      <c r="Y908" s="109"/>
      <c r="Z908" s="109"/>
      <c r="AA908" s="109"/>
      <c r="AB908" s="109"/>
      <c r="AC908" s="109"/>
      <c r="AD908" s="109"/>
      <c r="AE908" s="109"/>
      <c r="AF908" s="109"/>
      <c r="AG908" s="109"/>
      <c r="AH908" s="109"/>
      <c r="AI908" s="109"/>
      <c r="AJ908" s="109"/>
      <c r="AK908" s="109"/>
      <c r="AL908" s="109"/>
      <c r="AM908" s="109"/>
      <c r="AN908" s="109"/>
      <c r="AO908" s="109"/>
      <c r="AP908" s="109"/>
      <c r="AQ908" s="109"/>
      <c r="AR908" s="109"/>
      <c r="AS908" s="109"/>
      <c r="AT908" s="109"/>
      <c r="AU908" s="109"/>
      <c r="AV908" s="109"/>
      <c r="AW908" s="109"/>
      <c r="AX908" s="109"/>
      <c r="AY908" s="109"/>
      <c r="AZ908" s="109"/>
      <c r="BA908" s="109"/>
      <c r="BB908" s="109"/>
      <c r="BC908" s="109"/>
      <c r="BD908" s="109"/>
      <c r="BE908" s="109"/>
      <c r="BF908" s="109"/>
      <c r="BG908" s="109"/>
      <c r="BH908" s="109"/>
      <c r="BI908" s="109"/>
      <c r="BJ908" s="109"/>
      <c r="BK908" s="109"/>
      <c r="BL908" s="109"/>
      <c r="BM908" s="109"/>
      <c r="BN908" s="109"/>
      <c r="BO908" s="109"/>
      <c r="BP908" s="109"/>
      <c r="BQ908" s="109"/>
      <c r="BR908" s="109"/>
      <c r="BS908" s="109"/>
      <c r="BT908" s="109"/>
      <c r="BU908" s="109"/>
    </row>
    <row r="909" ht="15.75" customHeight="1">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10"/>
      <c r="X909" s="109"/>
      <c r="Y909" s="109"/>
      <c r="Z909" s="109"/>
      <c r="AA909" s="109"/>
      <c r="AB909" s="109"/>
      <c r="AC909" s="109"/>
      <c r="AD909" s="109"/>
      <c r="AE909" s="109"/>
      <c r="AF909" s="109"/>
      <c r="AG909" s="109"/>
      <c r="AH909" s="109"/>
      <c r="AI909" s="109"/>
      <c r="AJ909" s="109"/>
      <c r="AK909" s="109"/>
      <c r="AL909" s="109"/>
      <c r="AM909" s="109"/>
      <c r="AN909" s="109"/>
      <c r="AO909" s="109"/>
      <c r="AP909" s="109"/>
      <c r="AQ909" s="109"/>
      <c r="AR909" s="109"/>
      <c r="AS909" s="109"/>
      <c r="AT909" s="109"/>
      <c r="AU909" s="109"/>
      <c r="AV909" s="109"/>
      <c r="AW909" s="109"/>
      <c r="AX909" s="109"/>
      <c r="AY909" s="109"/>
      <c r="AZ909" s="109"/>
      <c r="BA909" s="109"/>
      <c r="BB909" s="109"/>
      <c r="BC909" s="109"/>
      <c r="BD909" s="109"/>
      <c r="BE909" s="109"/>
      <c r="BF909" s="109"/>
      <c r="BG909" s="109"/>
      <c r="BH909" s="109"/>
      <c r="BI909" s="109"/>
      <c r="BJ909" s="109"/>
      <c r="BK909" s="109"/>
      <c r="BL909" s="109"/>
      <c r="BM909" s="109"/>
      <c r="BN909" s="109"/>
      <c r="BO909" s="109"/>
      <c r="BP909" s="109"/>
      <c r="BQ909" s="109"/>
      <c r="BR909" s="109"/>
      <c r="BS909" s="109"/>
      <c r="BT909" s="109"/>
      <c r="BU909" s="109"/>
    </row>
    <row r="910" ht="15.75" customHeight="1">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10"/>
      <c r="X910" s="109"/>
      <c r="Y910" s="109"/>
      <c r="Z910" s="109"/>
      <c r="AA910" s="109"/>
      <c r="AB910" s="109"/>
      <c r="AC910" s="109"/>
      <c r="AD910" s="109"/>
      <c r="AE910" s="109"/>
      <c r="AF910" s="109"/>
      <c r="AG910" s="109"/>
      <c r="AH910" s="109"/>
      <c r="AI910" s="109"/>
      <c r="AJ910" s="109"/>
      <c r="AK910" s="109"/>
      <c r="AL910" s="109"/>
      <c r="AM910" s="109"/>
      <c r="AN910" s="109"/>
      <c r="AO910" s="109"/>
      <c r="AP910" s="109"/>
      <c r="AQ910" s="109"/>
      <c r="AR910" s="109"/>
      <c r="AS910" s="109"/>
      <c r="AT910" s="109"/>
      <c r="AU910" s="109"/>
      <c r="AV910" s="109"/>
      <c r="AW910" s="109"/>
      <c r="AX910" s="109"/>
      <c r="AY910" s="109"/>
      <c r="AZ910" s="109"/>
      <c r="BA910" s="109"/>
      <c r="BB910" s="109"/>
      <c r="BC910" s="109"/>
      <c r="BD910" s="109"/>
      <c r="BE910" s="109"/>
      <c r="BF910" s="109"/>
      <c r="BG910" s="109"/>
      <c r="BH910" s="109"/>
      <c r="BI910" s="109"/>
      <c r="BJ910" s="109"/>
      <c r="BK910" s="109"/>
      <c r="BL910" s="109"/>
      <c r="BM910" s="109"/>
      <c r="BN910" s="109"/>
      <c r="BO910" s="109"/>
      <c r="BP910" s="109"/>
      <c r="BQ910" s="109"/>
      <c r="BR910" s="109"/>
      <c r="BS910" s="109"/>
      <c r="BT910" s="109"/>
      <c r="BU910" s="109"/>
    </row>
    <row r="911" ht="15.75" customHeight="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10"/>
      <c r="X911" s="109"/>
      <c r="Y911" s="109"/>
      <c r="Z911" s="109"/>
      <c r="AA911" s="109"/>
      <c r="AB911" s="109"/>
      <c r="AC911" s="109"/>
      <c r="AD911" s="109"/>
      <c r="AE911" s="109"/>
      <c r="AF911" s="109"/>
      <c r="AG911" s="109"/>
      <c r="AH911" s="109"/>
      <c r="AI911" s="109"/>
      <c r="AJ911" s="109"/>
      <c r="AK911" s="109"/>
      <c r="AL911" s="109"/>
      <c r="AM911" s="109"/>
      <c r="AN911" s="109"/>
      <c r="AO911" s="109"/>
      <c r="AP911" s="109"/>
      <c r="AQ911" s="109"/>
      <c r="AR911" s="109"/>
      <c r="AS911" s="109"/>
      <c r="AT911" s="109"/>
      <c r="AU911" s="109"/>
      <c r="AV911" s="109"/>
      <c r="AW911" s="109"/>
      <c r="AX911" s="109"/>
      <c r="AY911" s="109"/>
      <c r="AZ911" s="109"/>
      <c r="BA911" s="109"/>
      <c r="BB911" s="109"/>
      <c r="BC911" s="109"/>
      <c r="BD911" s="109"/>
      <c r="BE911" s="109"/>
      <c r="BF911" s="109"/>
      <c r="BG911" s="109"/>
      <c r="BH911" s="109"/>
      <c r="BI911" s="109"/>
      <c r="BJ911" s="109"/>
      <c r="BK911" s="109"/>
      <c r="BL911" s="109"/>
      <c r="BM911" s="109"/>
      <c r="BN911" s="109"/>
      <c r="BO911" s="109"/>
      <c r="BP911" s="109"/>
      <c r="BQ911" s="109"/>
      <c r="BR911" s="109"/>
      <c r="BS911" s="109"/>
      <c r="BT911" s="109"/>
      <c r="BU911" s="109"/>
    </row>
    <row r="912" ht="15.75" customHeight="1">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10"/>
      <c r="X912" s="109"/>
      <c r="Y912" s="109"/>
      <c r="Z912" s="109"/>
      <c r="AA912" s="109"/>
      <c r="AB912" s="109"/>
      <c r="AC912" s="109"/>
      <c r="AD912" s="109"/>
      <c r="AE912" s="109"/>
      <c r="AF912" s="109"/>
      <c r="AG912" s="109"/>
      <c r="AH912" s="109"/>
      <c r="AI912" s="109"/>
      <c r="AJ912" s="109"/>
      <c r="AK912" s="109"/>
      <c r="AL912" s="109"/>
      <c r="AM912" s="109"/>
      <c r="AN912" s="109"/>
      <c r="AO912" s="109"/>
      <c r="AP912" s="109"/>
      <c r="AQ912" s="109"/>
      <c r="AR912" s="109"/>
      <c r="AS912" s="109"/>
      <c r="AT912" s="109"/>
      <c r="AU912" s="109"/>
      <c r="AV912" s="109"/>
      <c r="AW912" s="109"/>
      <c r="AX912" s="109"/>
      <c r="AY912" s="109"/>
      <c r="AZ912" s="109"/>
      <c r="BA912" s="109"/>
      <c r="BB912" s="109"/>
      <c r="BC912" s="109"/>
      <c r="BD912" s="109"/>
      <c r="BE912" s="109"/>
      <c r="BF912" s="109"/>
      <c r="BG912" s="109"/>
      <c r="BH912" s="109"/>
      <c r="BI912" s="109"/>
      <c r="BJ912" s="109"/>
      <c r="BK912" s="109"/>
      <c r="BL912" s="109"/>
      <c r="BM912" s="109"/>
      <c r="BN912" s="109"/>
      <c r="BO912" s="109"/>
      <c r="BP912" s="109"/>
      <c r="BQ912" s="109"/>
      <c r="BR912" s="109"/>
      <c r="BS912" s="109"/>
      <c r="BT912" s="109"/>
      <c r="BU912" s="109"/>
    </row>
    <row r="913" ht="15.75" customHeight="1">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10"/>
      <c r="X913" s="109"/>
      <c r="Y913" s="109"/>
      <c r="Z913" s="109"/>
      <c r="AA913" s="109"/>
      <c r="AB913" s="109"/>
      <c r="AC913" s="109"/>
      <c r="AD913" s="109"/>
      <c r="AE913" s="109"/>
      <c r="AF913" s="109"/>
      <c r="AG913" s="109"/>
      <c r="AH913" s="109"/>
      <c r="AI913" s="109"/>
      <c r="AJ913" s="109"/>
      <c r="AK913" s="109"/>
      <c r="AL913" s="109"/>
      <c r="AM913" s="109"/>
      <c r="AN913" s="109"/>
      <c r="AO913" s="109"/>
      <c r="AP913" s="109"/>
      <c r="AQ913" s="109"/>
      <c r="AR913" s="109"/>
      <c r="AS913" s="109"/>
      <c r="AT913" s="109"/>
      <c r="AU913" s="109"/>
      <c r="AV913" s="109"/>
      <c r="AW913" s="109"/>
      <c r="AX913" s="109"/>
      <c r="AY913" s="109"/>
      <c r="AZ913" s="109"/>
      <c r="BA913" s="109"/>
      <c r="BB913" s="109"/>
      <c r="BC913" s="109"/>
      <c r="BD913" s="109"/>
      <c r="BE913" s="109"/>
      <c r="BF913" s="109"/>
      <c r="BG913" s="109"/>
      <c r="BH913" s="109"/>
      <c r="BI913" s="109"/>
      <c r="BJ913" s="109"/>
      <c r="BK913" s="109"/>
      <c r="BL913" s="109"/>
      <c r="BM913" s="109"/>
      <c r="BN913" s="109"/>
      <c r="BO913" s="109"/>
      <c r="BP913" s="109"/>
      <c r="BQ913" s="109"/>
      <c r="BR913" s="109"/>
      <c r="BS913" s="109"/>
      <c r="BT913" s="109"/>
      <c r="BU913" s="109"/>
    </row>
    <row r="914" ht="15.75" customHeight="1">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10"/>
      <c r="X914" s="109"/>
      <c r="Y914" s="109"/>
      <c r="Z914" s="109"/>
      <c r="AA914" s="109"/>
      <c r="AB914" s="109"/>
      <c r="AC914" s="109"/>
      <c r="AD914" s="109"/>
      <c r="AE914" s="109"/>
      <c r="AF914" s="109"/>
      <c r="AG914" s="109"/>
      <c r="AH914" s="109"/>
      <c r="AI914" s="109"/>
      <c r="AJ914" s="109"/>
      <c r="AK914" s="109"/>
      <c r="AL914" s="109"/>
      <c r="AM914" s="109"/>
      <c r="AN914" s="109"/>
      <c r="AO914" s="109"/>
      <c r="AP914" s="109"/>
      <c r="AQ914" s="109"/>
      <c r="AR914" s="109"/>
      <c r="AS914" s="109"/>
      <c r="AT914" s="109"/>
      <c r="AU914" s="109"/>
      <c r="AV914" s="109"/>
      <c r="AW914" s="109"/>
      <c r="AX914" s="109"/>
      <c r="AY914" s="109"/>
      <c r="AZ914" s="109"/>
      <c r="BA914" s="109"/>
      <c r="BB914" s="109"/>
      <c r="BC914" s="109"/>
      <c r="BD914" s="109"/>
      <c r="BE914" s="109"/>
      <c r="BF914" s="109"/>
      <c r="BG914" s="109"/>
      <c r="BH914" s="109"/>
      <c r="BI914" s="109"/>
      <c r="BJ914" s="109"/>
      <c r="BK914" s="109"/>
      <c r="BL914" s="109"/>
      <c r="BM914" s="109"/>
      <c r="BN914" s="109"/>
      <c r="BO914" s="109"/>
      <c r="BP914" s="109"/>
      <c r="BQ914" s="109"/>
      <c r="BR914" s="109"/>
      <c r="BS914" s="109"/>
      <c r="BT914" s="109"/>
      <c r="BU914" s="109"/>
    </row>
    <row r="915" ht="15.75" customHeight="1">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10"/>
      <c r="X915" s="109"/>
      <c r="Y915" s="109"/>
      <c r="Z915" s="109"/>
      <c r="AA915" s="109"/>
      <c r="AB915" s="109"/>
      <c r="AC915" s="109"/>
      <c r="AD915" s="109"/>
      <c r="AE915" s="109"/>
      <c r="AF915" s="109"/>
      <c r="AG915" s="109"/>
      <c r="AH915" s="109"/>
      <c r="AI915" s="109"/>
      <c r="AJ915" s="109"/>
      <c r="AK915" s="109"/>
      <c r="AL915" s="109"/>
      <c r="AM915" s="109"/>
      <c r="AN915" s="109"/>
      <c r="AO915" s="109"/>
      <c r="AP915" s="109"/>
      <c r="AQ915" s="109"/>
      <c r="AR915" s="109"/>
      <c r="AS915" s="109"/>
      <c r="AT915" s="109"/>
      <c r="AU915" s="109"/>
      <c r="AV915" s="109"/>
      <c r="AW915" s="109"/>
      <c r="AX915" s="109"/>
      <c r="AY915" s="109"/>
      <c r="AZ915" s="109"/>
      <c r="BA915" s="109"/>
      <c r="BB915" s="109"/>
      <c r="BC915" s="109"/>
      <c r="BD915" s="109"/>
      <c r="BE915" s="109"/>
      <c r="BF915" s="109"/>
      <c r="BG915" s="109"/>
      <c r="BH915" s="109"/>
      <c r="BI915" s="109"/>
      <c r="BJ915" s="109"/>
      <c r="BK915" s="109"/>
      <c r="BL915" s="109"/>
      <c r="BM915" s="109"/>
      <c r="BN915" s="109"/>
      <c r="BO915" s="109"/>
      <c r="BP915" s="109"/>
      <c r="BQ915" s="109"/>
      <c r="BR915" s="109"/>
      <c r="BS915" s="109"/>
      <c r="BT915" s="109"/>
      <c r="BU915" s="109"/>
    </row>
    <row r="916" ht="15.75" customHeight="1">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10"/>
      <c r="X916" s="109"/>
      <c r="Y916" s="109"/>
      <c r="Z916" s="109"/>
      <c r="AA916" s="109"/>
      <c r="AB916" s="109"/>
      <c r="AC916" s="109"/>
      <c r="AD916" s="109"/>
      <c r="AE916" s="109"/>
      <c r="AF916" s="109"/>
      <c r="AG916" s="109"/>
      <c r="AH916" s="109"/>
      <c r="AI916" s="109"/>
      <c r="AJ916" s="109"/>
      <c r="AK916" s="109"/>
      <c r="AL916" s="109"/>
      <c r="AM916" s="109"/>
      <c r="AN916" s="109"/>
      <c r="AO916" s="109"/>
      <c r="AP916" s="109"/>
      <c r="AQ916" s="109"/>
      <c r="AR916" s="109"/>
      <c r="AS916" s="109"/>
      <c r="AT916" s="109"/>
      <c r="AU916" s="109"/>
      <c r="AV916" s="109"/>
      <c r="AW916" s="109"/>
      <c r="AX916" s="109"/>
      <c r="AY916" s="109"/>
      <c r="AZ916" s="109"/>
      <c r="BA916" s="109"/>
      <c r="BB916" s="109"/>
      <c r="BC916" s="109"/>
      <c r="BD916" s="109"/>
      <c r="BE916" s="109"/>
      <c r="BF916" s="109"/>
      <c r="BG916" s="109"/>
      <c r="BH916" s="109"/>
      <c r="BI916" s="109"/>
      <c r="BJ916" s="109"/>
      <c r="BK916" s="109"/>
      <c r="BL916" s="109"/>
      <c r="BM916" s="109"/>
      <c r="BN916" s="109"/>
      <c r="BO916" s="109"/>
      <c r="BP916" s="109"/>
      <c r="BQ916" s="109"/>
      <c r="BR916" s="109"/>
      <c r="BS916" s="109"/>
      <c r="BT916" s="109"/>
      <c r="BU916" s="109"/>
    </row>
    <row r="917" ht="15.75" customHeight="1">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10"/>
      <c r="X917" s="109"/>
      <c r="Y917" s="109"/>
      <c r="Z917" s="109"/>
      <c r="AA917" s="109"/>
      <c r="AB917" s="109"/>
      <c r="AC917" s="109"/>
      <c r="AD917" s="109"/>
      <c r="AE917" s="109"/>
      <c r="AF917" s="109"/>
      <c r="AG917" s="109"/>
      <c r="AH917" s="109"/>
      <c r="AI917" s="109"/>
      <c r="AJ917" s="109"/>
      <c r="AK917" s="109"/>
      <c r="AL917" s="109"/>
      <c r="AM917" s="109"/>
      <c r="AN917" s="109"/>
      <c r="AO917" s="109"/>
      <c r="AP917" s="109"/>
      <c r="AQ917" s="109"/>
      <c r="AR917" s="109"/>
      <c r="AS917" s="109"/>
      <c r="AT917" s="109"/>
      <c r="AU917" s="109"/>
      <c r="AV917" s="109"/>
      <c r="AW917" s="109"/>
      <c r="AX917" s="109"/>
      <c r="AY917" s="109"/>
      <c r="AZ917" s="109"/>
      <c r="BA917" s="109"/>
      <c r="BB917" s="109"/>
      <c r="BC917" s="109"/>
      <c r="BD917" s="109"/>
      <c r="BE917" s="109"/>
      <c r="BF917" s="109"/>
      <c r="BG917" s="109"/>
      <c r="BH917" s="109"/>
      <c r="BI917" s="109"/>
      <c r="BJ917" s="109"/>
      <c r="BK917" s="109"/>
      <c r="BL917" s="109"/>
      <c r="BM917" s="109"/>
      <c r="BN917" s="109"/>
      <c r="BO917" s="109"/>
      <c r="BP917" s="109"/>
      <c r="BQ917" s="109"/>
      <c r="BR917" s="109"/>
      <c r="BS917" s="109"/>
      <c r="BT917" s="109"/>
      <c r="BU917" s="109"/>
    </row>
    <row r="918" ht="15.75" customHeight="1">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10"/>
      <c r="X918" s="109"/>
      <c r="Y918" s="109"/>
      <c r="Z918" s="109"/>
      <c r="AA918" s="109"/>
      <c r="AB918" s="109"/>
      <c r="AC918" s="109"/>
      <c r="AD918" s="109"/>
      <c r="AE918" s="109"/>
      <c r="AF918" s="109"/>
      <c r="AG918" s="109"/>
      <c r="AH918" s="109"/>
      <c r="AI918" s="109"/>
      <c r="AJ918" s="109"/>
      <c r="AK918" s="109"/>
      <c r="AL918" s="109"/>
      <c r="AM918" s="109"/>
      <c r="AN918" s="109"/>
      <c r="AO918" s="109"/>
      <c r="AP918" s="109"/>
      <c r="AQ918" s="109"/>
      <c r="AR918" s="109"/>
      <c r="AS918" s="109"/>
      <c r="AT918" s="109"/>
      <c r="AU918" s="109"/>
      <c r="AV918" s="109"/>
      <c r="AW918" s="109"/>
      <c r="AX918" s="109"/>
      <c r="AY918" s="109"/>
      <c r="AZ918" s="109"/>
      <c r="BA918" s="109"/>
      <c r="BB918" s="109"/>
      <c r="BC918" s="109"/>
      <c r="BD918" s="109"/>
      <c r="BE918" s="109"/>
      <c r="BF918" s="109"/>
      <c r="BG918" s="109"/>
      <c r="BH918" s="109"/>
      <c r="BI918" s="109"/>
      <c r="BJ918" s="109"/>
      <c r="BK918" s="109"/>
      <c r="BL918" s="109"/>
      <c r="BM918" s="109"/>
      <c r="BN918" s="109"/>
      <c r="BO918" s="109"/>
      <c r="BP918" s="109"/>
      <c r="BQ918" s="109"/>
      <c r="BR918" s="109"/>
      <c r="BS918" s="109"/>
      <c r="BT918" s="109"/>
      <c r="BU918" s="109"/>
    </row>
    <row r="919" ht="15.75" customHeight="1">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10"/>
      <c r="X919" s="109"/>
      <c r="Y919" s="109"/>
      <c r="Z919" s="109"/>
      <c r="AA919" s="109"/>
      <c r="AB919" s="109"/>
      <c r="AC919" s="109"/>
      <c r="AD919" s="109"/>
      <c r="AE919" s="109"/>
      <c r="AF919" s="109"/>
      <c r="AG919" s="109"/>
      <c r="AH919" s="109"/>
      <c r="AI919" s="109"/>
      <c r="AJ919" s="109"/>
      <c r="AK919" s="109"/>
      <c r="AL919" s="109"/>
      <c r="AM919" s="109"/>
      <c r="AN919" s="109"/>
      <c r="AO919" s="109"/>
      <c r="AP919" s="109"/>
      <c r="AQ919" s="109"/>
      <c r="AR919" s="109"/>
      <c r="AS919" s="109"/>
      <c r="AT919" s="109"/>
      <c r="AU919" s="109"/>
      <c r="AV919" s="109"/>
      <c r="AW919" s="109"/>
      <c r="AX919" s="109"/>
      <c r="AY919" s="109"/>
      <c r="AZ919" s="109"/>
      <c r="BA919" s="109"/>
      <c r="BB919" s="109"/>
      <c r="BC919" s="109"/>
      <c r="BD919" s="109"/>
      <c r="BE919" s="109"/>
      <c r="BF919" s="109"/>
      <c r="BG919" s="109"/>
      <c r="BH919" s="109"/>
      <c r="BI919" s="109"/>
      <c r="BJ919" s="109"/>
      <c r="BK919" s="109"/>
      <c r="BL919" s="109"/>
      <c r="BM919" s="109"/>
      <c r="BN919" s="109"/>
      <c r="BO919" s="109"/>
      <c r="BP919" s="109"/>
      <c r="BQ919" s="109"/>
      <c r="BR919" s="109"/>
      <c r="BS919" s="109"/>
      <c r="BT919" s="109"/>
      <c r="BU919" s="109"/>
    </row>
    <row r="920" ht="15.75" customHeight="1">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10"/>
      <c r="X920" s="109"/>
      <c r="Y920" s="109"/>
      <c r="Z920" s="109"/>
      <c r="AA920" s="109"/>
      <c r="AB920" s="109"/>
      <c r="AC920" s="109"/>
      <c r="AD920" s="109"/>
      <c r="AE920" s="109"/>
      <c r="AF920" s="109"/>
      <c r="AG920" s="109"/>
      <c r="AH920" s="109"/>
      <c r="AI920" s="109"/>
      <c r="AJ920" s="109"/>
      <c r="AK920" s="109"/>
      <c r="AL920" s="109"/>
      <c r="AM920" s="109"/>
      <c r="AN920" s="109"/>
      <c r="AO920" s="109"/>
      <c r="AP920" s="109"/>
      <c r="AQ920" s="109"/>
      <c r="AR920" s="109"/>
      <c r="AS920" s="109"/>
      <c r="AT920" s="109"/>
      <c r="AU920" s="109"/>
      <c r="AV920" s="109"/>
      <c r="AW920" s="109"/>
      <c r="AX920" s="109"/>
      <c r="AY920" s="109"/>
      <c r="AZ920" s="109"/>
      <c r="BA920" s="109"/>
      <c r="BB920" s="109"/>
      <c r="BC920" s="109"/>
      <c r="BD920" s="109"/>
      <c r="BE920" s="109"/>
      <c r="BF920" s="109"/>
      <c r="BG920" s="109"/>
      <c r="BH920" s="109"/>
      <c r="BI920" s="109"/>
      <c r="BJ920" s="109"/>
      <c r="BK920" s="109"/>
      <c r="BL920" s="109"/>
      <c r="BM920" s="109"/>
      <c r="BN920" s="109"/>
      <c r="BO920" s="109"/>
      <c r="BP920" s="109"/>
      <c r="BQ920" s="109"/>
      <c r="BR920" s="109"/>
      <c r="BS920" s="109"/>
      <c r="BT920" s="109"/>
      <c r="BU920" s="109"/>
    </row>
    <row r="921" ht="15.75" customHeight="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10"/>
      <c r="X921" s="109"/>
      <c r="Y921" s="109"/>
      <c r="Z921" s="109"/>
      <c r="AA921" s="109"/>
      <c r="AB921" s="109"/>
      <c r="AC921" s="109"/>
      <c r="AD921" s="109"/>
      <c r="AE921" s="109"/>
      <c r="AF921" s="109"/>
      <c r="AG921" s="109"/>
      <c r="AH921" s="109"/>
      <c r="AI921" s="109"/>
      <c r="AJ921" s="109"/>
      <c r="AK921" s="109"/>
      <c r="AL921" s="109"/>
      <c r="AM921" s="109"/>
      <c r="AN921" s="109"/>
      <c r="AO921" s="109"/>
      <c r="AP921" s="109"/>
      <c r="AQ921" s="109"/>
      <c r="AR921" s="109"/>
      <c r="AS921" s="109"/>
      <c r="AT921" s="109"/>
      <c r="AU921" s="109"/>
      <c r="AV921" s="109"/>
      <c r="AW921" s="109"/>
      <c r="AX921" s="109"/>
      <c r="AY921" s="109"/>
      <c r="AZ921" s="109"/>
      <c r="BA921" s="109"/>
      <c r="BB921" s="109"/>
      <c r="BC921" s="109"/>
      <c r="BD921" s="109"/>
      <c r="BE921" s="109"/>
      <c r="BF921" s="109"/>
      <c r="BG921" s="109"/>
      <c r="BH921" s="109"/>
      <c r="BI921" s="109"/>
      <c r="BJ921" s="109"/>
      <c r="BK921" s="109"/>
      <c r="BL921" s="109"/>
      <c r="BM921" s="109"/>
      <c r="BN921" s="109"/>
      <c r="BO921" s="109"/>
      <c r="BP921" s="109"/>
      <c r="BQ921" s="109"/>
      <c r="BR921" s="109"/>
      <c r="BS921" s="109"/>
      <c r="BT921" s="109"/>
      <c r="BU921" s="109"/>
    </row>
    <row r="922" ht="15.75" customHeight="1">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10"/>
      <c r="X922" s="109"/>
      <c r="Y922" s="109"/>
      <c r="Z922" s="109"/>
      <c r="AA922" s="109"/>
      <c r="AB922" s="109"/>
      <c r="AC922" s="109"/>
      <c r="AD922" s="109"/>
      <c r="AE922" s="109"/>
      <c r="AF922" s="109"/>
      <c r="AG922" s="109"/>
      <c r="AH922" s="109"/>
      <c r="AI922" s="109"/>
      <c r="AJ922" s="109"/>
      <c r="AK922" s="109"/>
      <c r="AL922" s="109"/>
      <c r="AM922" s="109"/>
      <c r="AN922" s="109"/>
      <c r="AO922" s="109"/>
      <c r="AP922" s="109"/>
      <c r="AQ922" s="109"/>
      <c r="AR922" s="109"/>
      <c r="AS922" s="109"/>
      <c r="AT922" s="109"/>
      <c r="AU922" s="109"/>
      <c r="AV922" s="109"/>
      <c r="AW922" s="109"/>
      <c r="AX922" s="109"/>
      <c r="AY922" s="109"/>
      <c r="AZ922" s="109"/>
      <c r="BA922" s="109"/>
      <c r="BB922" s="109"/>
      <c r="BC922" s="109"/>
      <c r="BD922" s="109"/>
      <c r="BE922" s="109"/>
      <c r="BF922" s="109"/>
      <c r="BG922" s="109"/>
      <c r="BH922" s="109"/>
      <c r="BI922" s="109"/>
      <c r="BJ922" s="109"/>
      <c r="BK922" s="109"/>
      <c r="BL922" s="109"/>
      <c r="BM922" s="109"/>
      <c r="BN922" s="109"/>
      <c r="BO922" s="109"/>
      <c r="BP922" s="109"/>
      <c r="BQ922" s="109"/>
      <c r="BR922" s="109"/>
      <c r="BS922" s="109"/>
      <c r="BT922" s="109"/>
      <c r="BU922" s="109"/>
    </row>
    <row r="923" ht="15.75" customHeight="1">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10"/>
      <c r="X923" s="109"/>
      <c r="Y923" s="109"/>
      <c r="Z923" s="109"/>
      <c r="AA923" s="109"/>
      <c r="AB923" s="109"/>
      <c r="AC923" s="109"/>
      <c r="AD923" s="109"/>
      <c r="AE923" s="109"/>
      <c r="AF923" s="109"/>
      <c r="AG923" s="109"/>
      <c r="AH923" s="109"/>
      <c r="AI923" s="109"/>
      <c r="AJ923" s="109"/>
      <c r="AK923" s="109"/>
      <c r="AL923" s="109"/>
      <c r="AM923" s="109"/>
      <c r="AN923" s="109"/>
      <c r="AO923" s="109"/>
      <c r="AP923" s="109"/>
      <c r="AQ923" s="109"/>
      <c r="AR923" s="109"/>
      <c r="AS923" s="109"/>
      <c r="AT923" s="109"/>
      <c r="AU923" s="109"/>
      <c r="AV923" s="109"/>
      <c r="AW923" s="109"/>
      <c r="AX923" s="109"/>
      <c r="AY923" s="109"/>
      <c r="AZ923" s="109"/>
      <c r="BA923" s="109"/>
      <c r="BB923" s="109"/>
      <c r="BC923" s="109"/>
      <c r="BD923" s="109"/>
      <c r="BE923" s="109"/>
      <c r="BF923" s="109"/>
      <c r="BG923" s="109"/>
      <c r="BH923" s="109"/>
      <c r="BI923" s="109"/>
      <c r="BJ923" s="109"/>
      <c r="BK923" s="109"/>
      <c r="BL923" s="109"/>
      <c r="BM923" s="109"/>
      <c r="BN923" s="109"/>
      <c r="BO923" s="109"/>
      <c r="BP923" s="109"/>
      <c r="BQ923" s="109"/>
      <c r="BR923" s="109"/>
      <c r="BS923" s="109"/>
      <c r="BT923" s="109"/>
      <c r="BU923" s="109"/>
    </row>
    <row r="924" ht="15.75" customHeight="1">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10"/>
      <c r="X924" s="109"/>
      <c r="Y924" s="109"/>
      <c r="Z924" s="109"/>
      <c r="AA924" s="109"/>
      <c r="AB924" s="109"/>
      <c r="AC924" s="109"/>
      <c r="AD924" s="109"/>
      <c r="AE924" s="109"/>
      <c r="AF924" s="109"/>
      <c r="AG924" s="109"/>
      <c r="AH924" s="109"/>
      <c r="AI924" s="109"/>
      <c r="AJ924" s="109"/>
      <c r="AK924" s="109"/>
      <c r="AL924" s="109"/>
      <c r="AM924" s="109"/>
      <c r="AN924" s="109"/>
      <c r="AO924" s="109"/>
      <c r="AP924" s="109"/>
      <c r="AQ924" s="109"/>
      <c r="AR924" s="109"/>
      <c r="AS924" s="109"/>
      <c r="AT924" s="109"/>
      <c r="AU924" s="109"/>
      <c r="AV924" s="109"/>
      <c r="AW924" s="109"/>
      <c r="AX924" s="109"/>
      <c r="AY924" s="109"/>
      <c r="AZ924" s="109"/>
      <c r="BA924" s="109"/>
      <c r="BB924" s="109"/>
      <c r="BC924" s="109"/>
      <c r="BD924" s="109"/>
      <c r="BE924" s="109"/>
      <c r="BF924" s="109"/>
      <c r="BG924" s="109"/>
      <c r="BH924" s="109"/>
      <c r="BI924" s="109"/>
      <c r="BJ924" s="109"/>
      <c r="BK924" s="109"/>
      <c r="BL924" s="109"/>
      <c r="BM924" s="109"/>
      <c r="BN924" s="109"/>
      <c r="BO924" s="109"/>
      <c r="BP924" s="109"/>
      <c r="BQ924" s="109"/>
      <c r="BR924" s="109"/>
      <c r="BS924" s="109"/>
      <c r="BT924" s="109"/>
      <c r="BU924" s="109"/>
    </row>
    <row r="925" ht="15.75" customHeight="1">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10"/>
      <c r="X925" s="109"/>
      <c r="Y925" s="109"/>
      <c r="Z925" s="109"/>
      <c r="AA925" s="109"/>
      <c r="AB925" s="109"/>
      <c r="AC925" s="109"/>
      <c r="AD925" s="109"/>
      <c r="AE925" s="109"/>
      <c r="AF925" s="109"/>
      <c r="AG925" s="109"/>
      <c r="AH925" s="109"/>
      <c r="AI925" s="109"/>
      <c r="AJ925" s="109"/>
      <c r="AK925" s="109"/>
      <c r="AL925" s="109"/>
      <c r="AM925" s="109"/>
      <c r="AN925" s="109"/>
      <c r="AO925" s="109"/>
      <c r="AP925" s="109"/>
      <c r="AQ925" s="109"/>
      <c r="AR925" s="109"/>
      <c r="AS925" s="109"/>
      <c r="AT925" s="109"/>
      <c r="AU925" s="109"/>
      <c r="AV925" s="109"/>
      <c r="AW925" s="109"/>
      <c r="AX925" s="109"/>
      <c r="AY925" s="109"/>
      <c r="AZ925" s="109"/>
      <c r="BA925" s="109"/>
      <c r="BB925" s="109"/>
      <c r="BC925" s="109"/>
      <c r="BD925" s="109"/>
      <c r="BE925" s="109"/>
      <c r="BF925" s="109"/>
      <c r="BG925" s="109"/>
      <c r="BH925" s="109"/>
      <c r="BI925" s="109"/>
      <c r="BJ925" s="109"/>
      <c r="BK925" s="109"/>
      <c r="BL925" s="109"/>
      <c r="BM925" s="109"/>
      <c r="BN925" s="109"/>
      <c r="BO925" s="109"/>
      <c r="BP925" s="109"/>
      <c r="BQ925" s="109"/>
      <c r="BR925" s="109"/>
      <c r="BS925" s="109"/>
      <c r="BT925" s="109"/>
      <c r="BU925" s="109"/>
    </row>
    <row r="926" ht="15.75" customHeight="1">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10"/>
      <c r="X926" s="109"/>
      <c r="Y926" s="109"/>
      <c r="Z926" s="109"/>
      <c r="AA926" s="109"/>
      <c r="AB926" s="109"/>
      <c r="AC926" s="109"/>
      <c r="AD926" s="109"/>
      <c r="AE926" s="109"/>
      <c r="AF926" s="109"/>
      <c r="AG926" s="109"/>
      <c r="AH926" s="109"/>
      <c r="AI926" s="109"/>
      <c r="AJ926" s="109"/>
      <c r="AK926" s="109"/>
      <c r="AL926" s="109"/>
      <c r="AM926" s="109"/>
      <c r="AN926" s="109"/>
      <c r="AO926" s="109"/>
      <c r="AP926" s="109"/>
      <c r="AQ926" s="109"/>
      <c r="AR926" s="109"/>
      <c r="AS926" s="109"/>
      <c r="AT926" s="109"/>
      <c r="AU926" s="109"/>
      <c r="AV926" s="109"/>
      <c r="AW926" s="109"/>
      <c r="AX926" s="109"/>
      <c r="AY926" s="109"/>
      <c r="AZ926" s="109"/>
      <c r="BA926" s="109"/>
      <c r="BB926" s="109"/>
      <c r="BC926" s="109"/>
      <c r="BD926" s="109"/>
      <c r="BE926" s="109"/>
      <c r="BF926" s="109"/>
      <c r="BG926" s="109"/>
      <c r="BH926" s="109"/>
      <c r="BI926" s="109"/>
      <c r="BJ926" s="109"/>
      <c r="BK926" s="109"/>
      <c r="BL926" s="109"/>
      <c r="BM926" s="109"/>
      <c r="BN926" s="109"/>
      <c r="BO926" s="109"/>
      <c r="BP926" s="109"/>
      <c r="BQ926" s="109"/>
      <c r="BR926" s="109"/>
      <c r="BS926" s="109"/>
      <c r="BT926" s="109"/>
      <c r="BU926" s="109"/>
    </row>
    <row r="927" ht="15.75" customHeight="1">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10"/>
      <c r="X927" s="109"/>
      <c r="Y927" s="109"/>
      <c r="Z927" s="109"/>
      <c r="AA927" s="109"/>
      <c r="AB927" s="109"/>
      <c r="AC927" s="109"/>
      <c r="AD927" s="109"/>
      <c r="AE927" s="109"/>
      <c r="AF927" s="109"/>
      <c r="AG927" s="109"/>
      <c r="AH927" s="109"/>
      <c r="AI927" s="109"/>
      <c r="AJ927" s="109"/>
      <c r="AK927" s="109"/>
      <c r="AL927" s="109"/>
      <c r="AM927" s="109"/>
      <c r="AN927" s="109"/>
      <c r="AO927" s="109"/>
      <c r="AP927" s="109"/>
      <c r="AQ927" s="109"/>
      <c r="AR927" s="109"/>
      <c r="AS927" s="109"/>
      <c r="AT927" s="109"/>
      <c r="AU927" s="109"/>
      <c r="AV927" s="109"/>
      <c r="AW927" s="109"/>
      <c r="AX927" s="109"/>
      <c r="AY927" s="109"/>
      <c r="AZ927" s="109"/>
      <c r="BA927" s="109"/>
      <c r="BB927" s="109"/>
      <c r="BC927" s="109"/>
      <c r="BD927" s="109"/>
      <c r="BE927" s="109"/>
      <c r="BF927" s="109"/>
      <c r="BG927" s="109"/>
      <c r="BH927" s="109"/>
      <c r="BI927" s="109"/>
      <c r="BJ927" s="109"/>
      <c r="BK927" s="109"/>
      <c r="BL927" s="109"/>
      <c r="BM927" s="109"/>
      <c r="BN927" s="109"/>
      <c r="BO927" s="109"/>
      <c r="BP927" s="109"/>
      <c r="BQ927" s="109"/>
      <c r="BR927" s="109"/>
      <c r="BS927" s="109"/>
      <c r="BT927" s="109"/>
      <c r="BU927" s="109"/>
    </row>
    <row r="928" ht="15.75" customHeight="1">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10"/>
      <c r="X928" s="109"/>
      <c r="Y928" s="109"/>
      <c r="Z928" s="109"/>
      <c r="AA928" s="109"/>
      <c r="AB928" s="109"/>
      <c r="AC928" s="109"/>
      <c r="AD928" s="109"/>
      <c r="AE928" s="109"/>
      <c r="AF928" s="109"/>
      <c r="AG928" s="109"/>
      <c r="AH928" s="109"/>
      <c r="AI928" s="109"/>
      <c r="AJ928" s="109"/>
      <c r="AK928" s="109"/>
      <c r="AL928" s="109"/>
      <c r="AM928" s="109"/>
      <c r="AN928" s="109"/>
      <c r="AO928" s="109"/>
      <c r="AP928" s="109"/>
      <c r="AQ928" s="109"/>
      <c r="AR928" s="109"/>
      <c r="AS928" s="109"/>
      <c r="AT928" s="109"/>
      <c r="AU928" s="109"/>
      <c r="AV928" s="109"/>
      <c r="AW928" s="109"/>
      <c r="AX928" s="109"/>
      <c r="AY928" s="109"/>
      <c r="AZ928" s="109"/>
      <c r="BA928" s="109"/>
      <c r="BB928" s="109"/>
      <c r="BC928" s="109"/>
      <c r="BD928" s="109"/>
      <c r="BE928" s="109"/>
      <c r="BF928" s="109"/>
      <c r="BG928" s="109"/>
      <c r="BH928" s="109"/>
      <c r="BI928" s="109"/>
      <c r="BJ928" s="109"/>
      <c r="BK928" s="109"/>
      <c r="BL928" s="109"/>
      <c r="BM928" s="109"/>
      <c r="BN928" s="109"/>
      <c r="BO928" s="109"/>
      <c r="BP928" s="109"/>
      <c r="BQ928" s="109"/>
      <c r="BR928" s="109"/>
      <c r="BS928" s="109"/>
      <c r="BT928" s="109"/>
      <c r="BU928" s="109"/>
    </row>
    <row r="929" ht="15.75" customHeight="1">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10"/>
      <c r="X929" s="109"/>
      <c r="Y929" s="109"/>
      <c r="Z929" s="109"/>
      <c r="AA929" s="109"/>
      <c r="AB929" s="109"/>
      <c r="AC929" s="109"/>
      <c r="AD929" s="109"/>
      <c r="AE929" s="109"/>
      <c r="AF929" s="109"/>
      <c r="AG929" s="109"/>
      <c r="AH929" s="109"/>
      <c r="AI929" s="109"/>
      <c r="AJ929" s="109"/>
      <c r="AK929" s="109"/>
      <c r="AL929" s="109"/>
      <c r="AM929" s="109"/>
      <c r="AN929" s="109"/>
      <c r="AO929" s="109"/>
      <c r="AP929" s="109"/>
      <c r="AQ929" s="109"/>
      <c r="AR929" s="109"/>
      <c r="AS929" s="109"/>
      <c r="AT929" s="109"/>
      <c r="AU929" s="109"/>
      <c r="AV929" s="109"/>
      <c r="AW929" s="109"/>
      <c r="AX929" s="109"/>
      <c r="AY929" s="109"/>
      <c r="AZ929" s="109"/>
      <c r="BA929" s="109"/>
      <c r="BB929" s="109"/>
      <c r="BC929" s="109"/>
      <c r="BD929" s="109"/>
      <c r="BE929" s="109"/>
      <c r="BF929" s="109"/>
      <c r="BG929" s="109"/>
      <c r="BH929" s="109"/>
      <c r="BI929" s="109"/>
      <c r="BJ929" s="109"/>
      <c r="BK929" s="109"/>
      <c r="BL929" s="109"/>
      <c r="BM929" s="109"/>
      <c r="BN929" s="109"/>
      <c r="BO929" s="109"/>
      <c r="BP929" s="109"/>
      <c r="BQ929" s="109"/>
      <c r="BR929" s="109"/>
      <c r="BS929" s="109"/>
      <c r="BT929" s="109"/>
      <c r="BU929" s="109"/>
    </row>
    <row r="930" ht="15.75" customHeight="1">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10"/>
      <c r="X930" s="109"/>
      <c r="Y930" s="109"/>
      <c r="Z930" s="109"/>
      <c r="AA930" s="109"/>
      <c r="AB930" s="109"/>
      <c r="AC930" s="109"/>
      <c r="AD930" s="109"/>
      <c r="AE930" s="109"/>
      <c r="AF930" s="109"/>
      <c r="AG930" s="109"/>
      <c r="AH930" s="109"/>
      <c r="AI930" s="109"/>
      <c r="AJ930" s="109"/>
      <c r="AK930" s="109"/>
      <c r="AL930" s="109"/>
      <c r="AM930" s="109"/>
      <c r="AN930" s="109"/>
      <c r="AO930" s="109"/>
      <c r="AP930" s="109"/>
      <c r="AQ930" s="109"/>
      <c r="AR930" s="109"/>
      <c r="AS930" s="109"/>
      <c r="AT930" s="109"/>
      <c r="AU930" s="109"/>
      <c r="AV930" s="109"/>
      <c r="AW930" s="109"/>
      <c r="AX930" s="109"/>
      <c r="AY930" s="109"/>
      <c r="AZ930" s="109"/>
      <c r="BA930" s="109"/>
      <c r="BB930" s="109"/>
      <c r="BC930" s="109"/>
      <c r="BD930" s="109"/>
      <c r="BE930" s="109"/>
      <c r="BF930" s="109"/>
      <c r="BG930" s="109"/>
      <c r="BH930" s="109"/>
      <c r="BI930" s="109"/>
      <c r="BJ930" s="109"/>
      <c r="BK930" s="109"/>
      <c r="BL930" s="109"/>
      <c r="BM930" s="109"/>
      <c r="BN930" s="109"/>
      <c r="BO930" s="109"/>
      <c r="BP930" s="109"/>
      <c r="BQ930" s="109"/>
      <c r="BR930" s="109"/>
      <c r="BS930" s="109"/>
      <c r="BT930" s="109"/>
      <c r="BU930" s="109"/>
    </row>
    <row r="931" ht="15.75" customHeight="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10"/>
      <c r="X931" s="109"/>
      <c r="Y931" s="109"/>
      <c r="Z931" s="109"/>
      <c r="AA931" s="109"/>
      <c r="AB931" s="109"/>
      <c r="AC931" s="109"/>
      <c r="AD931" s="109"/>
      <c r="AE931" s="109"/>
      <c r="AF931" s="109"/>
      <c r="AG931" s="109"/>
      <c r="AH931" s="109"/>
      <c r="AI931" s="109"/>
      <c r="AJ931" s="109"/>
      <c r="AK931" s="109"/>
      <c r="AL931" s="109"/>
      <c r="AM931" s="109"/>
      <c r="AN931" s="109"/>
      <c r="AO931" s="109"/>
      <c r="AP931" s="109"/>
      <c r="AQ931" s="109"/>
      <c r="AR931" s="109"/>
      <c r="AS931" s="109"/>
      <c r="AT931" s="109"/>
      <c r="AU931" s="109"/>
      <c r="AV931" s="109"/>
      <c r="AW931" s="109"/>
      <c r="AX931" s="109"/>
      <c r="AY931" s="109"/>
      <c r="AZ931" s="109"/>
      <c r="BA931" s="109"/>
      <c r="BB931" s="109"/>
      <c r="BC931" s="109"/>
      <c r="BD931" s="109"/>
      <c r="BE931" s="109"/>
      <c r="BF931" s="109"/>
      <c r="BG931" s="109"/>
      <c r="BH931" s="109"/>
      <c r="BI931" s="109"/>
      <c r="BJ931" s="109"/>
      <c r="BK931" s="109"/>
      <c r="BL931" s="109"/>
      <c r="BM931" s="109"/>
      <c r="BN931" s="109"/>
      <c r="BO931" s="109"/>
      <c r="BP931" s="109"/>
      <c r="BQ931" s="109"/>
      <c r="BR931" s="109"/>
      <c r="BS931" s="109"/>
      <c r="BT931" s="109"/>
      <c r="BU931" s="109"/>
    </row>
    <row r="932" ht="15.75" customHeight="1">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10"/>
      <c r="X932" s="109"/>
      <c r="Y932" s="109"/>
      <c r="Z932" s="109"/>
      <c r="AA932" s="109"/>
      <c r="AB932" s="109"/>
      <c r="AC932" s="109"/>
      <c r="AD932" s="109"/>
      <c r="AE932" s="109"/>
      <c r="AF932" s="109"/>
      <c r="AG932" s="109"/>
      <c r="AH932" s="109"/>
      <c r="AI932" s="109"/>
      <c r="AJ932" s="109"/>
      <c r="AK932" s="109"/>
      <c r="AL932" s="109"/>
      <c r="AM932" s="109"/>
      <c r="AN932" s="109"/>
      <c r="AO932" s="109"/>
      <c r="AP932" s="109"/>
      <c r="AQ932" s="109"/>
      <c r="AR932" s="109"/>
      <c r="AS932" s="109"/>
      <c r="AT932" s="109"/>
      <c r="AU932" s="109"/>
      <c r="AV932" s="109"/>
      <c r="AW932" s="109"/>
      <c r="AX932" s="109"/>
      <c r="AY932" s="109"/>
      <c r="AZ932" s="109"/>
      <c r="BA932" s="109"/>
      <c r="BB932" s="109"/>
      <c r="BC932" s="109"/>
      <c r="BD932" s="109"/>
      <c r="BE932" s="109"/>
      <c r="BF932" s="109"/>
      <c r="BG932" s="109"/>
      <c r="BH932" s="109"/>
      <c r="BI932" s="109"/>
      <c r="BJ932" s="109"/>
      <c r="BK932" s="109"/>
      <c r="BL932" s="109"/>
      <c r="BM932" s="109"/>
      <c r="BN932" s="109"/>
      <c r="BO932" s="109"/>
      <c r="BP932" s="109"/>
      <c r="BQ932" s="109"/>
      <c r="BR932" s="109"/>
      <c r="BS932" s="109"/>
      <c r="BT932" s="109"/>
      <c r="BU932" s="109"/>
    </row>
    <row r="933" ht="15.75" customHeight="1">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10"/>
      <c r="X933" s="109"/>
      <c r="Y933" s="109"/>
      <c r="Z933" s="109"/>
      <c r="AA933" s="109"/>
      <c r="AB933" s="109"/>
      <c r="AC933" s="109"/>
      <c r="AD933" s="109"/>
      <c r="AE933" s="109"/>
      <c r="AF933" s="109"/>
      <c r="AG933" s="109"/>
      <c r="AH933" s="109"/>
      <c r="AI933" s="109"/>
      <c r="AJ933" s="109"/>
      <c r="AK933" s="109"/>
      <c r="AL933" s="109"/>
      <c r="AM933" s="109"/>
      <c r="AN933" s="109"/>
      <c r="AO933" s="109"/>
      <c r="AP933" s="109"/>
      <c r="AQ933" s="109"/>
      <c r="AR933" s="109"/>
      <c r="AS933" s="109"/>
      <c r="AT933" s="109"/>
      <c r="AU933" s="109"/>
      <c r="AV933" s="109"/>
      <c r="AW933" s="109"/>
      <c r="AX933" s="109"/>
      <c r="AY933" s="109"/>
      <c r="AZ933" s="109"/>
      <c r="BA933" s="109"/>
      <c r="BB933" s="109"/>
      <c r="BC933" s="109"/>
      <c r="BD933" s="109"/>
      <c r="BE933" s="109"/>
      <c r="BF933" s="109"/>
      <c r="BG933" s="109"/>
      <c r="BH933" s="109"/>
      <c r="BI933" s="109"/>
      <c r="BJ933" s="109"/>
      <c r="BK933" s="109"/>
      <c r="BL933" s="109"/>
      <c r="BM933" s="109"/>
      <c r="BN933" s="109"/>
      <c r="BO933" s="109"/>
      <c r="BP933" s="109"/>
      <c r="BQ933" s="109"/>
      <c r="BR933" s="109"/>
      <c r="BS933" s="109"/>
      <c r="BT933" s="109"/>
      <c r="BU933" s="109"/>
    </row>
    <row r="934" ht="15.75" customHeight="1">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10"/>
      <c r="X934" s="109"/>
      <c r="Y934" s="109"/>
      <c r="Z934" s="109"/>
      <c r="AA934" s="109"/>
      <c r="AB934" s="109"/>
      <c r="AC934" s="109"/>
      <c r="AD934" s="109"/>
      <c r="AE934" s="109"/>
      <c r="AF934" s="109"/>
      <c r="AG934" s="109"/>
      <c r="AH934" s="109"/>
      <c r="AI934" s="109"/>
      <c r="AJ934" s="109"/>
      <c r="AK934" s="109"/>
      <c r="AL934" s="109"/>
      <c r="AM934" s="109"/>
      <c r="AN934" s="109"/>
      <c r="AO934" s="109"/>
      <c r="AP934" s="109"/>
      <c r="AQ934" s="109"/>
      <c r="AR934" s="109"/>
      <c r="AS934" s="109"/>
      <c r="AT934" s="109"/>
      <c r="AU934" s="109"/>
      <c r="AV934" s="109"/>
      <c r="AW934" s="109"/>
      <c r="AX934" s="109"/>
      <c r="AY934" s="109"/>
      <c r="AZ934" s="109"/>
      <c r="BA934" s="109"/>
      <c r="BB934" s="109"/>
      <c r="BC934" s="109"/>
      <c r="BD934" s="109"/>
      <c r="BE934" s="109"/>
      <c r="BF934" s="109"/>
      <c r="BG934" s="109"/>
      <c r="BH934" s="109"/>
      <c r="BI934" s="109"/>
      <c r="BJ934" s="109"/>
      <c r="BK934" s="109"/>
      <c r="BL934" s="109"/>
      <c r="BM934" s="109"/>
      <c r="BN934" s="109"/>
      <c r="BO934" s="109"/>
      <c r="BP934" s="109"/>
      <c r="BQ934" s="109"/>
      <c r="BR934" s="109"/>
      <c r="BS934" s="109"/>
      <c r="BT934" s="109"/>
      <c r="BU934" s="109"/>
    </row>
    <row r="935" ht="15.75" customHeight="1">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10"/>
      <c r="X935" s="109"/>
      <c r="Y935" s="109"/>
      <c r="Z935" s="109"/>
      <c r="AA935" s="109"/>
      <c r="AB935" s="109"/>
      <c r="AC935" s="109"/>
      <c r="AD935" s="109"/>
      <c r="AE935" s="109"/>
      <c r="AF935" s="109"/>
      <c r="AG935" s="109"/>
      <c r="AH935" s="109"/>
      <c r="AI935" s="109"/>
      <c r="AJ935" s="109"/>
      <c r="AK935" s="109"/>
      <c r="AL935" s="109"/>
      <c r="AM935" s="109"/>
      <c r="AN935" s="109"/>
      <c r="AO935" s="109"/>
      <c r="AP935" s="109"/>
      <c r="AQ935" s="109"/>
      <c r="AR935" s="109"/>
      <c r="AS935" s="109"/>
      <c r="AT935" s="109"/>
      <c r="AU935" s="109"/>
      <c r="AV935" s="109"/>
      <c r="AW935" s="109"/>
      <c r="AX935" s="109"/>
      <c r="AY935" s="109"/>
      <c r="AZ935" s="109"/>
      <c r="BA935" s="109"/>
      <c r="BB935" s="109"/>
      <c r="BC935" s="109"/>
      <c r="BD935" s="109"/>
      <c r="BE935" s="109"/>
      <c r="BF935" s="109"/>
      <c r="BG935" s="109"/>
      <c r="BH935" s="109"/>
      <c r="BI935" s="109"/>
      <c r="BJ935" s="109"/>
      <c r="BK935" s="109"/>
      <c r="BL935" s="109"/>
      <c r="BM935" s="109"/>
      <c r="BN935" s="109"/>
      <c r="BO935" s="109"/>
      <c r="BP935" s="109"/>
      <c r="BQ935" s="109"/>
      <c r="BR935" s="109"/>
      <c r="BS935" s="109"/>
      <c r="BT935" s="109"/>
      <c r="BU935" s="109"/>
    </row>
    <row r="936" ht="15.75" customHeight="1">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10"/>
      <c r="X936" s="109"/>
      <c r="Y936" s="109"/>
      <c r="Z936" s="109"/>
      <c r="AA936" s="109"/>
      <c r="AB936" s="109"/>
      <c r="AC936" s="109"/>
      <c r="AD936" s="109"/>
      <c r="AE936" s="109"/>
      <c r="AF936" s="109"/>
      <c r="AG936" s="109"/>
      <c r="AH936" s="109"/>
      <c r="AI936" s="109"/>
      <c r="AJ936" s="109"/>
      <c r="AK936" s="109"/>
      <c r="AL936" s="109"/>
      <c r="AM936" s="109"/>
      <c r="AN936" s="109"/>
      <c r="AO936" s="109"/>
      <c r="AP936" s="109"/>
      <c r="AQ936" s="109"/>
      <c r="AR936" s="109"/>
      <c r="AS936" s="109"/>
      <c r="AT936" s="109"/>
      <c r="AU936" s="109"/>
      <c r="AV936" s="109"/>
      <c r="AW936" s="109"/>
      <c r="AX936" s="109"/>
      <c r="AY936" s="109"/>
      <c r="AZ936" s="109"/>
      <c r="BA936" s="109"/>
      <c r="BB936" s="109"/>
      <c r="BC936" s="109"/>
      <c r="BD936" s="109"/>
      <c r="BE936" s="109"/>
      <c r="BF936" s="109"/>
      <c r="BG936" s="109"/>
      <c r="BH936" s="109"/>
      <c r="BI936" s="109"/>
      <c r="BJ936" s="109"/>
      <c r="BK936" s="109"/>
      <c r="BL936" s="109"/>
      <c r="BM936" s="109"/>
      <c r="BN936" s="109"/>
      <c r="BO936" s="109"/>
      <c r="BP936" s="109"/>
      <c r="BQ936" s="109"/>
      <c r="BR936" s="109"/>
      <c r="BS936" s="109"/>
      <c r="BT936" s="109"/>
      <c r="BU936" s="109"/>
    </row>
    <row r="937" ht="15.75" customHeight="1">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10"/>
      <c r="X937" s="109"/>
      <c r="Y937" s="109"/>
      <c r="Z937" s="109"/>
      <c r="AA937" s="109"/>
      <c r="AB937" s="109"/>
      <c r="AC937" s="109"/>
      <c r="AD937" s="109"/>
      <c r="AE937" s="109"/>
      <c r="AF937" s="109"/>
      <c r="AG937" s="109"/>
      <c r="AH937" s="109"/>
      <c r="AI937" s="109"/>
      <c r="AJ937" s="109"/>
      <c r="AK937" s="109"/>
      <c r="AL937" s="109"/>
      <c r="AM937" s="109"/>
      <c r="AN937" s="109"/>
      <c r="AO937" s="109"/>
      <c r="AP937" s="109"/>
      <c r="AQ937" s="109"/>
      <c r="AR937" s="109"/>
      <c r="AS937" s="109"/>
      <c r="AT937" s="109"/>
      <c r="AU937" s="109"/>
      <c r="AV937" s="109"/>
      <c r="AW937" s="109"/>
      <c r="AX937" s="109"/>
      <c r="AY937" s="109"/>
      <c r="AZ937" s="109"/>
      <c r="BA937" s="109"/>
      <c r="BB937" s="109"/>
      <c r="BC937" s="109"/>
      <c r="BD937" s="109"/>
      <c r="BE937" s="109"/>
      <c r="BF937" s="109"/>
      <c r="BG937" s="109"/>
      <c r="BH937" s="109"/>
      <c r="BI937" s="109"/>
      <c r="BJ937" s="109"/>
      <c r="BK937" s="109"/>
      <c r="BL937" s="109"/>
      <c r="BM937" s="109"/>
      <c r="BN937" s="109"/>
      <c r="BO937" s="109"/>
      <c r="BP937" s="109"/>
      <c r="BQ937" s="109"/>
      <c r="BR937" s="109"/>
      <c r="BS937" s="109"/>
      <c r="BT937" s="109"/>
      <c r="BU937" s="109"/>
    </row>
    <row r="938" ht="15.75" customHeight="1">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10"/>
      <c r="X938" s="109"/>
      <c r="Y938" s="109"/>
      <c r="Z938" s="109"/>
      <c r="AA938" s="109"/>
      <c r="AB938" s="109"/>
      <c r="AC938" s="109"/>
      <c r="AD938" s="109"/>
      <c r="AE938" s="109"/>
      <c r="AF938" s="109"/>
      <c r="AG938" s="109"/>
      <c r="AH938" s="109"/>
      <c r="AI938" s="109"/>
      <c r="AJ938" s="109"/>
      <c r="AK938" s="109"/>
      <c r="AL938" s="109"/>
      <c r="AM938" s="109"/>
      <c r="AN938" s="109"/>
      <c r="AO938" s="109"/>
      <c r="AP938" s="109"/>
      <c r="AQ938" s="109"/>
      <c r="AR938" s="109"/>
      <c r="AS938" s="109"/>
      <c r="AT938" s="109"/>
      <c r="AU938" s="109"/>
      <c r="AV938" s="109"/>
      <c r="AW938" s="109"/>
      <c r="AX938" s="109"/>
      <c r="AY938" s="109"/>
      <c r="AZ938" s="109"/>
      <c r="BA938" s="109"/>
      <c r="BB938" s="109"/>
      <c r="BC938" s="109"/>
      <c r="BD938" s="109"/>
      <c r="BE938" s="109"/>
      <c r="BF938" s="109"/>
      <c r="BG938" s="109"/>
      <c r="BH938" s="109"/>
      <c r="BI938" s="109"/>
      <c r="BJ938" s="109"/>
      <c r="BK938" s="109"/>
      <c r="BL938" s="109"/>
      <c r="BM938" s="109"/>
      <c r="BN938" s="109"/>
      <c r="BO938" s="109"/>
      <c r="BP938" s="109"/>
      <c r="BQ938" s="109"/>
      <c r="BR938" s="109"/>
      <c r="BS938" s="109"/>
      <c r="BT938" s="109"/>
      <c r="BU938" s="109"/>
    </row>
    <row r="939" ht="15.75" customHeight="1">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10"/>
      <c r="X939" s="109"/>
      <c r="Y939" s="109"/>
      <c r="Z939" s="109"/>
      <c r="AA939" s="109"/>
      <c r="AB939" s="109"/>
      <c r="AC939" s="109"/>
      <c r="AD939" s="109"/>
      <c r="AE939" s="109"/>
      <c r="AF939" s="109"/>
      <c r="AG939" s="109"/>
      <c r="AH939" s="109"/>
      <c r="AI939" s="109"/>
      <c r="AJ939" s="109"/>
      <c r="AK939" s="109"/>
      <c r="AL939" s="109"/>
      <c r="AM939" s="109"/>
      <c r="AN939" s="109"/>
      <c r="AO939" s="109"/>
      <c r="AP939" s="109"/>
      <c r="AQ939" s="109"/>
      <c r="AR939" s="109"/>
      <c r="AS939" s="109"/>
      <c r="AT939" s="109"/>
      <c r="AU939" s="109"/>
      <c r="AV939" s="109"/>
      <c r="AW939" s="109"/>
      <c r="AX939" s="109"/>
      <c r="AY939" s="109"/>
      <c r="AZ939" s="109"/>
      <c r="BA939" s="109"/>
      <c r="BB939" s="109"/>
      <c r="BC939" s="109"/>
      <c r="BD939" s="109"/>
      <c r="BE939" s="109"/>
      <c r="BF939" s="109"/>
      <c r="BG939" s="109"/>
      <c r="BH939" s="109"/>
      <c r="BI939" s="109"/>
      <c r="BJ939" s="109"/>
      <c r="BK939" s="109"/>
      <c r="BL939" s="109"/>
      <c r="BM939" s="109"/>
      <c r="BN939" s="109"/>
      <c r="BO939" s="109"/>
      <c r="BP939" s="109"/>
      <c r="BQ939" s="109"/>
      <c r="BR939" s="109"/>
      <c r="BS939" s="109"/>
      <c r="BT939" s="109"/>
      <c r="BU939" s="109"/>
    </row>
    <row r="940" ht="15.75" customHeight="1">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10"/>
      <c r="X940" s="109"/>
      <c r="Y940" s="109"/>
      <c r="Z940" s="109"/>
      <c r="AA940" s="109"/>
      <c r="AB940" s="109"/>
      <c r="AC940" s="109"/>
      <c r="AD940" s="109"/>
      <c r="AE940" s="109"/>
      <c r="AF940" s="109"/>
      <c r="AG940" s="109"/>
      <c r="AH940" s="109"/>
      <c r="AI940" s="109"/>
      <c r="AJ940" s="109"/>
      <c r="AK940" s="109"/>
      <c r="AL940" s="109"/>
      <c r="AM940" s="109"/>
      <c r="AN940" s="109"/>
      <c r="AO940" s="109"/>
      <c r="AP940" s="109"/>
      <c r="AQ940" s="109"/>
      <c r="AR940" s="109"/>
      <c r="AS940" s="109"/>
      <c r="AT940" s="109"/>
      <c r="AU940" s="109"/>
      <c r="AV940" s="109"/>
      <c r="AW940" s="109"/>
      <c r="AX940" s="109"/>
      <c r="AY940" s="109"/>
      <c r="AZ940" s="109"/>
      <c r="BA940" s="109"/>
      <c r="BB940" s="109"/>
      <c r="BC940" s="109"/>
      <c r="BD940" s="109"/>
      <c r="BE940" s="109"/>
      <c r="BF940" s="109"/>
      <c r="BG940" s="109"/>
      <c r="BH940" s="109"/>
      <c r="BI940" s="109"/>
      <c r="BJ940" s="109"/>
      <c r="BK940" s="109"/>
      <c r="BL940" s="109"/>
      <c r="BM940" s="109"/>
      <c r="BN940" s="109"/>
      <c r="BO940" s="109"/>
      <c r="BP940" s="109"/>
      <c r="BQ940" s="109"/>
      <c r="BR940" s="109"/>
      <c r="BS940" s="109"/>
      <c r="BT940" s="109"/>
      <c r="BU940" s="109"/>
    </row>
    <row r="941" ht="15.75" customHeight="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10"/>
      <c r="X941" s="109"/>
      <c r="Y941" s="109"/>
      <c r="Z941" s="109"/>
      <c r="AA941" s="109"/>
      <c r="AB941" s="109"/>
      <c r="AC941" s="109"/>
      <c r="AD941" s="109"/>
      <c r="AE941" s="109"/>
      <c r="AF941" s="109"/>
      <c r="AG941" s="109"/>
      <c r="AH941" s="109"/>
      <c r="AI941" s="109"/>
      <c r="AJ941" s="109"/>
      <c r="AK941" s="109"/>
      <c r="AL941" s="109"/>
      <c r="AM941" s="109"/>
      <c r="AN941" s="109"/>
      <c r="AO941" s="109"/>
      <c r="AP941" s="109"/>
      <c r="AQ941" s="109"/>
      <c r="AR941" s="109"/>
      <c r="AS941" s="109"/>
      <c r="AT941" s="109"/>
      <c r="AU941" s="109"/>
      <c r="AV941" s="109"/>
      <c r="AW941" s="109"/>
      <c r="AX941" s="109"/>
      <c r="AY941" s="109"/>
      <c r="AZ941" s="109"/>
      <c r="BA941" s="109"/>
      <c r="BB941" s="109"/>
      <c r="BC941" s="109"/>
      <c r="BD941" s="109"/>
      <c r="BE941" s="109"/>
      <c r="BF941" s="109"/>
      <c r="BG941" s="109"/>
      <c r="BH941" s="109"/>
      <c r="BI941" s="109"/>
      <c r="BJ941" s="109"/>
      <c r="BK941" s="109"/>
      <c r="BL941" s="109"/>
      <c r="BM941" s="109"/>
      <c r="BN941" s="109"/>
      <c r="BO941" s="109"/>
      <c r="BP941" s="109"/>
      <c r="BQ941" s="109"/>
      <c r="BR941" s="109"/>
      <c r="BS941" s="109"/>
      <c r="BT941" s="109"/>
      <c r="BU941" s="109"/>
    </row>
    <row r="942" ht="15.75" customHeight="1">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10"/>
      <c r="X942" s="109"/>
      <c r="Y942" s="109"/>
      <c r="Z942" s="109"/>
      <c r="AA942" s="109"/>
      <c r="AB942" s="109"/>
      <c r="AC942" s="109"/>
      <c r="AD942" s="109"/>
      <c r="AE942" s="109"/>
      <c r="AF942" s="109"/>
      <c r="AG942" s="109"/>
      <c r="AH942" s="109"/>
      <c r="AI942" s="109"/>
      <c r="AJ942" s="109"/>
      <c r="AK942" s="109"/>
      <c r="AL942" s="109"/>
      <c r="AM942" s="109"/>
      <c r="AN942" s="109"/>
      <c r="AO942" s="109"/>
      <c r="AP942" s="109"/>
      <c r="AQ942" s="109"/>
      <c r="AR942" s="109"/>
      <c r="AS942" s="109"/>
      <c r="AT942" s="109"/>
      <c r="AU942" s="109"/>
      <c r="AV942" s="109"/>
      <c r="AW942" s="109"/>
      <c r="AX942" s="109"/>
      <c r="AY942" s="109"/>
      <c r="AZ942" s="109"/>
      <c r="BA942" s="109"/>
      <c r="BB942" s="109"/>
      <c r="BC942" s="109"/>
      <c r="BD942" s="109"/>
      <c r="BE942" s="109"/>
      <c r="BF942" s="109"/>
      <c r="BG942" s="109"/>
      <c r="BH942" s="109"/>
      <c r="BI942" s="109"/>
      <c r="BJ942" s="109"/>
      <c r="BK942" s="109"/>
      <c r="BL942" s="109"/>
      <c r="BM942" s="109"/>
      <c r="BN942" s="109"/>
      <c r="BO942" s="109"/>
      <c r="BP942" s="109"/>
      <c r="BQ942" s="109"/>
      <c r="BR942" s="109"/>
      <c r="BS942" s="109"/>
      <c r="BT942" s="109"/>
      <c r="BU942" s="109"/>
    </row>
    <row r="943" ht="15.75" customHeight="1">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10"/>
      <c r="X943" s="109"/>
      <c r="Y943" s="109"/>
      <c r="Z943" s="109"/>
      <c r="AA943" s="109"/>
      <c r="AB943" s="109"/>
      <c r="AC943" s="109"/>
      <c r="AD943" s="109"/>
      <c r="AE943" s="109"/>
      <c r="AF943" s="109"/>
      <c r="AG943" s="109"/>
      <c r="AH943" s="109"/>
      <c r="AI943" s="109"/>
      <c r="AJ943" s="109"/>
      <c r="AK943" s="109"/>
      <c r="AL943" s="109"/>
      <c r="AM943" s="109"/>
      <c r="AN943" s="109"/>
      <c r="AO943" s="109"/>
      <c r="AP943" s="109"/>
      <c r="AQ943" s="109"/>
      <c r="AR943" s="109"/>
      <c r="AS943" s="109"/>
      <c r="AT943" s="109"/>
      <c r="AU943" s="109"/>
      <c r="AV943" s="109"/>
      <c r="AW943" s="109"/>
      <c r="AX943" s="109"/>
      <c r="AY943" s="109"/>
      <c r="AZ943" s="109"/>
      <c r="BA943" s="109"/>
      <c r="BB943" s="109"/>
      <c r="BC943" s="109"/>
      <c r="BD943" s="109"/>
      <c r="BE943" s="109"/>
      <c r="BF943" s="109"/>
      <c r="BG943" s="109"/>
      <c r="BH943" s="109"/>
      <c r="BI943" s="109"/>
      <c r="BJ943" s="109"/>
      <c r="BK943" s="109"/>
      <c r="BL943" s="109"/>
      <c r="BM943" s="109"/>
      <c r="BN943" s="109"/>
      <c r="BO943" s="109"/>
      <c r="BP943" s="109"/>
      <c r="BQ943" s="109"/>
      <c r="BR943" s="109"/>
      <c r="BS943" s="109"/>
      <c r="BT943" s="109"/>
      <c r="BU943" s="109"/>
    </row>
    <row r="944" ht="15.75" customHeight="1">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10"/>
      <c r="X944" s="109"/>
      <c r="Y944" s="109"/>
      <c r="Z944" s="109"/>
      <c r="AA944" s="109"/>
      <c r="AB944" s="109"/>
      <c r="AC944" s="109"/>
      <c r="AD944" s="109"/>
      <c r="AE944" s="109"/>
      <c r="AF944" s="109"/>
      <c r="AG944" s="109"/>
      <c r="AH944" s="109"/>
      <c r="AI944" s="109"/>
      <c r="AJ944" s="109"/>
      <c r="AK944" s="109"/>
      <c r="AL944" s="109"/>
      <c r="AM944" s="109"/>
      <c r="AN944" s="109"/>
      <c r="AO944" s="109"/>
      <c r="AP944" s="109"/>
      <c r="AQ944" s="109"/>
      <c r="AR944" s="109"/>
      <c r="AS944" s="109"/>
      <c r="AT944" s="109"/>
      <c r="AU944" s="109"/>
      <c r="AV944" s="109"/>
      <c r="AW944" s="109"/>
      <c r="AX944" s="109"/>
      <c r="AY944" s="109"/>
      <c r="AZ944" s="109"/>
      <c r="BA944" s="109"/>
      <c r="BB944" s="109"/>
      <c r="BC944" s="109"/>
      <c r="BD944" s="109"/>
      <c r="BE944" s="109"/>
      <c r="BF944" s="109"/>
      <c r="BG944" s="109"/>
      <c r="BH944" s="109"/>
      <c r="BI944" s="109"/>
      <c r="BJ944" s="109"/>
      <c r="BK944" s="109"/>
      <c r="BL944" s="109"/>
      <c r="BM944" s="109"/>
      <c r="BN944" s="109"/>
      <c r="BO944" s="109"/>
      <c r="BP944" s="109"/>
      <c r="BQ944" s="109"/>
      <c r="BR944" s="109"/>
      <c r="BS944" s="109"/>
      <c r="BT944" s="109"/>
      <c r="BU944" s="109"/>
    </row>
    <row r="945" ht="15.75" customHeight="1">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10"/>
      <c r="X945" s="109"/>
      <c r="Y945" s="109"/>
      <c r="Z945" s="109"/>
      <c r="AA945" s="109"/>
      <c r="AB945" s="109"/>
      <c r="AC945" s="109"/>
      <c r="AD945" s="109"/>
      <c r="AE945" s="109"/>
      <c r="AF945" s="109"/>
      <c r="AG945" s="109"/>
      <c r="AH945" s="109"/>
      <c r="AI945" s="109"/>
      <c r="AJ945" s="109"/>
      <c r="AK945" s="109"/>
      <c r="AL945" s="109"/>
      <c r="AM945" s="109"/>
      <c r="AN945" s="109"/>
      <c r="AO945" s="109"/>
      <c r="AP945" s="109"/>
      <c r="AQ945" s="109"/>
      <c r="AR945" s="109"/>
      <c r="AS945" s="109"/>
      <c r="AT945" s="109"/>
      <c r="AU945" s="109"/>
      <c r="AV945" s="109"/>
      <c r="AW945" s="109"/>
      <c r="AX945" s="109"/>
      <c r="AY945" s="109"/>
      <c r="AZ945" s="109"/>
      <c r="BA945" s="109"/>
      <c r="BB945" s="109"/>
      <c r="BC945" s="109"/>
      <c r="BD945" s="109"/>
      <c r="BE945" s="109"/>
      <c r="BF945" s="109"/>
      <c r="BG945" s="109"/>
      <c r="BH945" s="109"/>
      <c r="BI945" s="109"/>
      <c r="BJ945" s="109"/>
      <c r="BK945" s="109"/>
      <c r="BL945" s="109"/>
      <c r="BM945" s="109"/>
      <c r="BN945" s="109"/>
      <c r="BO945" s="109"/>
      <c r="BP945" s="109"/>
      <c r="BQ945" s="109"/>
      <c r="BR945" s="109"/>
      <c r="BS945" s="109"/>
      <c r="BT945" s="109"/>
      <c r="BU945" s="109"/>
    </row>
    <row r="946" ht="15.75" customHeight="1">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10"/>
      <c r="X946" s="109"/>
      <c r="Y946" s="109"/>
      <c r="Z946" s="109"/>
      <c r="AA946" s="109"/>
      <c r="AB946" s="109"/>
      <c r="AC946" s="109"/>
      <c r="AD946" s="109"/>
      <c r="AE946" s="109"/>
      <c r="AF946" s="109"/>
      <c r="AG946" s="109"/>
      <c r="AH946" s="109"/>
      <c r="AI946" s="109"/>
      <c r="AJ946" s="109"/>
      <c r="AK946" s="109"/>
      <c r="AL946" s="109"/>
      <c r="AM946" s="109"/>
      <c r="AN946" s="109"/>
      <c r="AO946" s="109"/>
      <c r="AP946" s="109"/>
      <c r="AQ946" s="109"/>
      <c r="AR946" s="109"/>
      <c r="AS946" s="109"/>
      <c r="AT946" s="109"/>
      <c r="AU946" s="109"/>
      <c r="AV946" s="109"/>
      <c r="AW946" s="109"/>
      <c r="AX946" s="109"/>
      <c r="AY946" s="109"/>
      <c r="AZ946" s="109"/>
      <c r="BA946" s="109"/>
      <c r="BB946" s="109"/>
      <c r="BC946" s="109"/>
      <c r="BD946" s="109"/>
      <c r="BE946" s="109"/>
      <c r="BF946" s="109"/>
      <c r="BG946" s="109"/>
      <c r="BH946" s="109"/>
      <c r="BI946" s="109"/>
      <c r="BJ946" s="109"/>
      <c r="BK946" s="109"/>
      <c r="BL946" s="109"/>
      <c r="BM946" s="109"/>
      <c r="BN946" s="109"/>
      <c r="BO946" s="109"/>
      <c r="BP946" s="109"/>
      <c r="BQ946" s="109"/>
      <c r="BR946" s="109"/>
      <c r="BS946" s="109"/>
      <c r="BT946" s="109"/>
      <c r="BU946" s="109"/>
    </row>
    <row r="947" ht="15.75" customHeight="1">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10"/>
      <c r="X947" s="109"/>
      <c r="Y947" s="109"/>
      <c r="Z947" s="109"/>
      <c r="AA947" s="109"/>
      <c r="AB947" s="109"/>
      <c r="AC947" s="109"/>
      <c r="AD947" s="109"/>
      <c r="AE947" s="109"/>
      <c r="AF947" s="109"/>
      <c r="AG947" s="109"/>
      <c r="AH947" s="109"/>
      <c r="AI947" s="109"/>
      <c r="AJ947" s="109"/>
      <c r="AK947" s="109"/>
      <c r="AL947" s="109"/>
      <c r="AM947" s="109"/>
      <c r="AN947" s="109"/>
      <c r="AO947" s="109"/>
      <c r="AP947" s="109"/>
      <c r="AQ947" s="109"/>
      <c r="AR947" s="109"/>
      <c r="AS947" s="109"/>
      <c r="AT947" s="109"/>
      <c r="AU947" s="109"/>
      <c r="AV947" s="109"/>
      <c r="AW947" s="109"/>
      <c r="AX947" s="109"/>
      <c r="AY947" s="109"/>
      <c r="AZ947" s="109"/>
      <c r="BA947" s="109"/>
      <c r="BB947" s="109"/>
      <c r="BC947" s="109"/>
      <c r="BD947" s="109"/>
      <c r="BE947" s="109"/>
      <c r="BF947" s="109"/>
      <c r="BG947" s="109"/>
      <c r="BH947" s="109"/>
      <c r="BI947" s="109"/>
      <c r="BJ947" s="109"/>
      <c r="BK947" s="109"/>
      <c r="BL947" s="109"/>
      <c r="BM947" s="109"/>
      <c r="BN947" s="109"/>
      <c r="BO947" s="109"/>
      <c r="BP947" s="109"/>
      <c r="BQ947" s="109"/>
      <c r="BR947" s="109"/>
      <c r="BS947" s="109"/>
      <c r="BT947" s="109"/>
      <c r="BU947" s="109"/>
    </row>
    <row r="948" ht="15.75" customHeight="1">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10"/>
      <c r="X948" s="109"/>
      <c r="Y948" s="109"/>
      <c r="Z948" s="109"/>
      <c r="AA948" s="109"/>
      <c r="AB948" s="109"/>
      <c r="AC948" s="109"/>
      <c r="AD948" s="109"/>
      <c r="AE948" s="109"/>
      <c r="AF948" s="109"/>
      <c r="AG948" s="109"/>
      <c r="AH948" s="109"/>
      <c r="AI948" s="109"/>
      <c r="AJ948" s="109"/>
      <c r="AK948" s="109"/>
      <c r="AL948" s="109"/>
      <c r="AM948" s="109"/>
      <c r="AN948" s="109"/>
      <c r="AO948" s="109"/>
      <c r="AP948" s="109"/>
      <c r="AQ948" s="109"/>
      <c r="AR948" s="109"/>
      <c r="AS948" s="109"/>
      <c r="AT948" s="109"/>
      <c r="AU948" s="109"/>
      <c r="AV948" s="109"/>
      <c r="AW948" s="109"/>
      <c r="AX948" s="109"/>
      <c r="AY948" s="109"/>
      <c r="AZ948" s="109"/>
      <c r="BA948" s="109"/>
      <c r="BB948" s="109"/>
      <c r="BC948" s="109"/>
      <c r="BD948" s="109"/>
      <c r="BE948" s="109"/>
      <c r="BF948" s="109"/>
      <c r="BG948" s="109"/>
      <c r="BH948" s="109"/>
      <c r="BI948" s="109"/>
      <c r="BJ948" s="109"/>
      <c r="BK948" s="109"/>
      <c r="BL948" s="109"/>
      <c r="BM948" s="109"/>
      <c r="BN948" s="109"/>
      <c r="BO948" s="109"/>
      <c r="BP948" s="109"/>
      <c r="BQ948" s="109"/>
      <c r="BR948" s="109"/>
      <c r="BS948" s="109"/>
      <c r="BT948" s="109"/>
      <c r="BU948" s="109"/>
    </row>
    <row r="949" ht="15.75" customHeight="1">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10"/>
      <c r="X949" s="109"/>
      <c r="Y949" s="109"/>
      <c r="Z949" s="109"/>
      <c r="AA949" s="109"/>
      <c r="AB949" s="109"/>
      <c r="AC949" s="109"/>
      <c r="AD949" s="109"/>
      <c r="AE949" s="109"/>
      <c r="AF949" s="109"/>
      <c r="AG949" s="109"/>
      <c r="AH949" s="109"/>
      <c r="AI949" s="109"/>
      <c r="AJ949" s="109"/>
      <c r="AK949" s="109"/>
      <c r="AL949" s="109"/>
      <c r="AM949" s="109"/>
      <c r="AN949" s="109"/>
      <c r="AO949" s="109"/>
      <c r="AP949" s="109"/>
      <c r="AQ949" s="109"/>
      <c r="AR949" s="109"/>
      <c r="AS949" s="109"/>
      <c r="AT949" s="109"/>
      <c r="AU949" s="109"/>
      <c r="AV949" s="109"/>
      <c r="AW949" s="109"/>
      <c r="AX949" s="109"/>
      <c r="AY949" s="109"/>
      <c r="AZ949" s="109"/>
      <c r="BA949" s="109"/>
      <c r="BB949" s="109"/>
      <c r="BC949" s="109"/>
      <c r="BD949" s="109"/>
      <c r="BE949" s="109"/>
      <c r="BF949" s="109"/>
      <c r="BG949" s="109"/>
      <c r="BH949" s="109"/>
      <c r="BI949" s="109"/>
      <c r="BJ949" s="109"/>
      <c r="BK949" s="109"/>
      <c r="BL949" s="109"/>
      <c r="BM949" s="109"/>
      <c r="BN949" s="109"/>
      <c r="BO949" s="109"/>
      <c r="BP949" s="109"/>
      <c r="BQ949" s="109"/>
      <c r="BR949" s="109"/>
      <c r="BS949" s="109"/>
      <c r="BT949" s="109"/>
      <c r="BU949" s="109"/>
    </row>
    <row r="950" ht="15.75" customHeight="1">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10"/>
      <c r="X950" s="109"/>
      <c r="Y950" s="109"/>
      <c r="Z950" s="109"/>
      <c r="AA950" s="109"/>
      <c r="AB950" s="109"/>
      <c r="AC950" s="109"/>
      <c r="AD950" s="109"/>
      <c r="AE950" s="109"/>
      <c r="AF950" s="109"/>
      <c r="AG950" s="109"/>
      <c r="AH950" s="109"/>
      <c r="AI950" s="109"/>
      <c r="AJ950" s="109"/>
      <c r="AK950" s="109"/>
      <c r="AL950" s="109"/>
      <c r="AM950" s="109"/>
      <c r="AN950" s="109"/>
      <c r="AO950" s="109"/>
      <c r="AP950" s="109"/>
      <c r="AQ950" s="109"/>
      <c r="AR950" s="109"/>
      <c r="AS950" s="109"/>
      <c r="AT950" s="109"/>
      <c r="AU950" s="109"/>
      <c r="AV950" s="109"/>
      <c r="AW950" s="109"/>
      <c r="AX950" s="109"/>
      <c r="AY950" s="109"/>
      <c r="AZ950" s="109"/>
      <c r="BA950" s="109"/>
      <c r="BB950" s="109"/>
      <c r="BC950" s="109"/>
      <c r="BD950" s="109"/>
      <c r="BE950" s="109"/>
      <c r="BF950" s="109"/>
      <c r="BG950" s="109"/>
      <c r="BH950" s="109"/>
      <c r="BI950" s="109"/>
      <c r="BJ950" s="109"/>
      <c r="BK950" s="109"/>
      <c r="BL950" s="109"/>
      <c r="BM950" s="109"/>
      <c r="BN950" s="109"/>
      <c r="BO950" s="109"/>
      <c r="BP950" s="109"/>
      <c r="BQ950" s="109"/>
      <c r="BR950" s="109"/>
      <c r="BS950" s="109"/>
      <c r="BT950" s="109"/>
      <c r="BU950" s="109"/>
    </row>
    <row r="951" ht="15.75" customHeight="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10"/>
      <c r="X951" s="109"/>
      <c r="Y951" s="109"/>
      <c r="Z951" s="109"/>
      <c r="AA951" s="109"/>
      <c r="AB951" s="109"/>
      <c r="AC951" s="109"/>
      <c r="AD951" s="109"/>
      <c r="AE951" s="109"/>
      <c r="AF951" s="109"/>
      <c r="AG951" s="109"/>
      <c r="AH951" s="109"/>
      <c r="AI951" s="109"/>
      <c r="AJ951" s="109"/>
      <c r="AK951" s="109"/>
      <c r="AL951" s="109"/>
      <c r="AM951" s="109"/>
      <c r="AN951" s="109"/>
      <c r="AO951" s="109"/>
      <c r="AP951" s="109"/>
      <c r="AQ951" s="109"/>
      <c r="AR951" s="109"/>
      <c r="AS951" s="109"/>
      <c r="AT951" s="109"/>
      <c r="AU951" s="109"/>
      <c r="AV951" s="109"/>
      <c r="AW951" s="109"/>
      <c r="AX951" s="109"/>
      <c r="AY951" s="109"/>
      <c r="AZ951" s="109"/>
      <c r="BA951" s="109"/>
      <c r="BB951" s="109"/>
      <c r="BC951" s="109"/>
      <c r="BD951" s="109"/>
      <c r="BE951" s="109"/>
      <c r="BF951" s="109"/>
      <c r="BG951" s="109"/>
      <c r="BH951" s="109"/>
      <c r="BI951" s="109"/>
      <c r="BJ951" s="109"/>
      <c r="BK951" s="109"/>
      <c r="BL951" s="109"/>
      <c r="BM951" s="109"/>
      <c r="BN951" s="109"/>
      <c r="BO951" s="109"/>
      <c r="BP951" s="109"/>
      <c r="BQ951" s="109"/>
      <c r="BR951" s="109"/>
      <c r="BS951" s="109"/>
      <c r="BT951" s="109"/>
      <c r="BU951" s="109"/>
    </row>
    <row r="952" ht="15.75" customHeight="1">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10"/>
      <c r="X952" s="109"/>
      <c r="Y952" s="109"/>
      <c r="Z952" s="109"/>
      <c r="AA952" s="109"/>
      <c r="AB952" s="109"/>
      <c r="AC952" s="109"/>
      <c r="AD952" s="109"/>
      <c r="AE952" s="109"/>
      <c r="AF952" s="109"/>
      <c r="AG952" s="109"/>
      <c r="AH952" s="109"/>
      <c r="AI952" s="109"/>
      <c r="AJ952" s="109"/>
      <c r="AK952" s="109"/>
      <c r="AL952" s="109"/>
      <c r="AM952" s="109"/>
      <c r="AN952" s="109"/>
      <c r="AO952" s="109"/>
      <c r="AP952" s="109"/>
      <c r="AQ952" s="109"/>
      <c r="AR952" s="109"/>
      <c r="AS952" s="109"/>
      <c r="AT952" s="109"/>
      <c r="AU952" s="109"/>
      <c r="AV952" s="109"/>
      <c r="AW952" s="109"/>
      <c r="AX952" s="109"/>
      <c r="AY952" s="109"/>
      <c r="AZ952" s="109"/>
      <c r="BA952" s="109"/>
      <c r="BB952" s="109"/>
      <c r="BC952" s="109"/>
      <c r="BD952" s="109"/>
      <c r="BE952" s="109"/>
      <c r="BF952" s="109"/>
      <c r="BG952" s="109"/>
      <c r="BH952" s="109"/>
      <c r="BI952" s="109"/>
      <c r="BJ952" s="109"/>
      <c r="BK952" s="109"/>
      <c r="BL952" s="109"/>
      <c r="BM952" s="109"/>
      <c r="BN952" s="109"/>
      <c r="BO952" s="109"/>
      <c r="BP952" s="109"/>
      <c r="BQ952" s="109"/>
      <c r="BR952" s="109"/>
      <c r="BS952" s="109"/>
      <c r="BT952" s="109"/>
      <c r="BU952" s="109"/>
    </row>
    <row r="953" ht="15.75" customHeight="1">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10"/>
      <c r="X953" s="109"/>
      <c r="Y953" s="109"/>
      <c r="Z953" s="109"/>
      <c r="AA953" s="109"/>
      <c r="AB953" s="109"/>
      <c r="AC953" s="109"/>
      <c r="AD953" s="109"/>
      <c r="AE953" s="109"/>
      <c r="AF953" s="109"/>
      <c r="AG953" s="109"/>
      <c r="AH953" s="109"/>
      <c r="AI953" s="109"/>
      <c r="AJ953" s="109"/>
      <c r="AK953" s="109"/>
      <c r="AL953" s="109"/>
      <c r="AM953" s="109"/>
      <c r="AN953" s="109"/>
      <c r="AO953" s="109"/>
      <c r="AP953" s="109"/>
      <c r="AQ953" s="109"/>
      <c r="AR953" s="109"/>
      <c r="AS953" s="109"/>
      <c r="AT953" s="109"/>
      <c r="AU953" s="109"/>
      <c r="AV953" s="109"/>
      <c r="AW953" s="109"/>
      <c r="AX953" s="109"/>
      <c r="AY953" s="109"/>
      <c r="AZ953" s="109"/>
      <c r="BA953" s="109"/>
      <c r="BB953" s="109"/>
      <c r="BC953" s="109"/>
      <c r="BD953" s="109"/>
      <c r="BE953" s="109"/>
      <c r="BF953" s="109"/>
      <c r="BG953" s="109"/>
      <c r="BH953" s="109"/>
      <c r="BI953" s="109"/>
      <c r="BJ953" s="109"/>
      <c r="BK953" s="109"/>
      <c r="BL953" s="109"/>
      <c r="BM953" s="109"/>
      <c r="BN953" s="109"/>
      <c r="BO953" s="109"/>
      <c r="BP953" s="109"/>
      <c r="BQ953" s="109"/>
      <c r="BR953" s="109"/>
      <c r="BS953" s="109"/>
      <c r="BT953" s="109"/>
      <c r="BU953" s="109"/>
    </row>
    <row r="954" ht="15.75" customHeight="1">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10"/>
      <c r="X954" s="109"/>
      <c r="Y954" s="109"/>
      <c r="Z954" s="109"/>
      <c r="AA954" s="109"/>
      <c r="AB954" s="109"/>
      <c r="AC954" s="109"/>
      <c r="AD954" s="109"/>
      <c r="AE954" s="109"/>
      <c r="AF954" s="109"/>
      <c r="AG954" s="109"/>
      <c r="AH954" s="109"/>
      <c r="AI954" s="109"/>
      <c r="AJ954" s="109"/>
      <c r="AK954" s="109"/>
      <c r="AL954" s="109"/>
      <c r="AM954" s="109"/>
      <c r="AN954" s="109"/>
      <c r="AO954" s="109"/>
      <c r="AP954" s="109"/>
      <c r="AQ954" s="109"/>
      <c r="AR954" s="109"/>
      <c r="AS954" s="109"/>
      <c r="AT954" s="109"/>
      <c r="AU954" s="109"/>
      <c r="AV954" s="109"/>
      <c r="AW954" s="109"/>
      <c r="AX954" s="109"/>
      <c r="AY954" s="109"/>
      <c r="AZ954" s="109"/>
      <c r="BA954" s="109"/>
      <c r="BB954" s="109"/>
      <c r="BC954" s="109"/>
      <c r="BD954" s="109"/>
      <c r="BE954" s="109"/>
      <c r="BF954" s="109"/>
      <c r="BG954" s="109"/>
      <c r="BH954" s="109"/>
      <c r="BI954" s="109"/>
      <c r="BJ954" s="109"/>
      <c r="BK954" s="109"/>
      <c r="BL954" s="109"/>
      <c r="BM954" s="109"/>
      <c r="BN954" s="109"/>
      <c r="BO954" s="109"/>
      <c r="BP954" s="109"/>
      <c r="BQ954" s="109"/>
      <c r="BR954" s="109"/>
      <c r="BS954" s="109"/>
      <c r="BT954" s="109"/>
      <c r="BU954" s="109"/>
    </row>
    <row r="955" ht="15.75" customHeight="1">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10"/>
      <c r="X955" s="109"/>
      <c r="Y955" s="109"/>
      <c r="Z955" s="109"/>
      <c r="AA955" s="109"/>
      <c r="AB955" s="109"/>
      <c r="AC955" s="109"/>
      <c r="AD955" s="109"/>
      <c r="AE955" s="109"/>
      <c r="AF955" s="109"/>
      <c r="AG955" s="109"/>
      <c r="AH955" s="109"/>
      <c r="AI955" s="109"/>
      <c r="AJ955" s="109"/>
      <c r="AK955" s="109"/>
      <c r="AL955" s="109"/>
      <c r="AM955" s="109"/>
      <c r="AN955" s="109"/>
      <c r="AO955" s="109"/>
      <c r="AP955" s="109"/>
      <c r="AQ955" s="109"/>
      <c r="AR955" s="109"/>
      <c r="AS955" s="109"/>
      <c r="AT955" s="109"/>
      <c r="AU955" s="109"/>
      <c r="AV955" s="109"/>
      <c r="AW955" s="109"/>
      <c r="AX955" s="109"/>
      <c r="AY955" s="109"/>
      <c r="AZ955" s="109"/>
      <c r="BA955" s="109"/>
      <c r="BB955" s="109"/>
      <c r="BC955" s="109"/>
      <c r="BD955" s="109"/>
      <c r="BE955" s="109"/>
      <c r="BF955" s="109"/>
      <c r="BG955" s="109"/>
      <c r="BH955" s="109"/>
      <c r="BI955" s="109"/>
      <c r="BJ955" s="109"/>
      <c r="BK955" s="109"/>
      <c r="BL955" s="109"/>
      <c r="BM955" s="109"/>
      <c r="BN955" s="109"/>
      <c r="BO955" s="109"/>
      <c r="BP955" s="109"/>
      <c r="BQ955" s="109"/>
      <c r="BR955" s="109"/>
      <c r="BS955" s="109"/>
      <c r="BT955" s="109"/>
      <c r="BU955" s="109"/>
    </row>
    <row r="956" ht="15.75" customHeight="1">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10"/>
      <c r="X956" s="109"/>
      <c r="Y956" s="109"/>
      <c r="Z956" s="109"/>
      <c r="AA956" s="109"/>
      <c r="AB956" s="109"/>
      <c r="AC956" s="109"/>
      <c r="AD956" s="109"/>
      <c r="AE956" s="109"/>
      <c r="AF956" s="109"/>
      <c r="AG956" s="109"/>
      <c r="AH956" s="109"/>
      <c r="AI956" s="109"/>
      <c r="AJ956" s="109"/>
      <c r="AK956" s="109"/>
      <c r="AL956" s="109"/>
      <c r="AM956" s="109"/>
      <c r="AN956" s="109"/>
      <c r="AO956" s="109"/>
      <c r="AP956" s="109"/>
      <c r="AQ956" s="109"/>
      <c r="AR956" s="109"/>
      <c r="AS956" s="109"/>
      <c r="AT956" s="109"/>
      <c r="AU956" s="109"/>
      <c r="AV956" s="109"/>
      <c r="AW956" s="109"/>
      <c r="AX956" s="109"/>
      <c r="AY956" s="109"/>
      <c r="AZ956" s="109"/>
      <c r="BA956" s="109"/>
      <c r="BB956" s="109"/>
      <c r="BC956" s="109"/>
      <c r="BD956" s="109"/>
      <c r="BE956" s="109"/>
      <c r="BF956" s="109"/>
      <c r="BG956" s="109"/>
      <c r="BH956" s="109"/>
      <c r="BI956" s="109"/>
      <c r="BJ956" s="109"/>
      <c r="BK956" s="109"/>
      <c r="BL956" s="109"/>
      <c r="BM956" s="109"/>
      <c r="BN956" s="109"/>
      <c r="BO956" s="109"/>
      <c r="BP956" s="109"/>
      <c r="BQ956" s="109"/>
      <c r="BR956" s="109"/>
      <c r="BS956" s="109"/>
      <c r="BT956" s="109"/>
      <c r="BU956" s="109"/>
    </row>
    <row r="957" ht="15.75" customHeight="1">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10"/>
      <c r="X957" s="109"/>
      <c r="Y957" s="109"/>
      <c r="Z957" s="109"/>
      <c r="AA957" s="109"/>
      <c r="AB957" s="109"/>
      <c r="AC957" s="109"/>
      <c r="AD957" s="109"/>
      <c r="AE957" s="109"/>
      <c r="AF957" s="109"/>
      <c r="AG957" s="109"/>
      <c r="AH957" s="109"/>
      <c r="AI957" s="109"/>
      <c r="AJ957" s="109"/>
      <c r="AK957" s="109"/>
      <c r="AL957" s="109"/>
      <c r="AM957" s="109"/>
      <c r="AN957" s="109"/>
      <c r="AO957" s="109"/>
      <c r="AP957" s="109"/>
      <c r="AQ957" s="109"/>
      <c r="AR957" s="109"/>
      <c r="AS957" s="109"/>
      <c r="AT957" s="109"/>
      <c r="AU957" s="109"/>
      <c r="AV957" s="109"/>
      <c r="AW957" s="109"/>
      <c r="AX957" s="109"/>
      <c r="AY957" s="109"/>
      <c r="AZ957" s="109"/>
      <c r="BA957" s="109"/>
      <c r="BB957" s="109"/>
      <c r="BC957" s="109"/>
      <c r="BD957" s="109"/>
      <c r="BE957" s="109"/>
      <c r="BF957" s="109"/>
      <c r="BG957" s="109"/>
      <c r="BH957" s="109"/>
      <c r="BI957" s="109"/>
      <c r="BJ957" s="109"/>
      <c r="BK957" s="109"/>
      <c r="BL957" s="109"/>
      <c r="BM957" s="109"/>
      <c r="BN957" s="109"/>
      <c r="BO957" s="109"/>
      <c r="BP957" s="109"/>
      <c r="BQ957" s="109"/>
      <c r="BR957" s="109"/>
      <c r="BS957" s="109"/>
      <c r="BT957" s="109"/>
      <c r="BU957" s="109"/>
    </row>
    <row r="958" ht="15.75" customHeight="1">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10"/>
      <c r="X958" s="109"/>
      <c r="Y958" s="109"/>
      <c r="Z958" s="109"/>
      <c r="AA958" s="109"/>
      <c r="AB958" s="109"/>
      <c r="AC958" s="109"/>
      <c r="AD958" s="109"/>
      <c r="AE958" s="109"/>
      <c r="AF958" s="109"/>
      <c r="AG958" s="109"/>
      <c r="AH958" s="109"/>
      <c r="AI958" s="109"/>
      <c r="AJ958" s="109"/>
      <c r="AK958" s="109"/>
      <c r="AL958" s="109"/>
      <c r="AM958" s="109"/>
      <c r="AN958" s="109"/>
      <c r="AO958" s="109"/>
      <c r="AP958" s="109"/>
      <c r="AQ958" s="109"/>
      <c r="AR958" s="109"/>
      <c r="AS958" s="109"/>
      <c r="AT958" s="109"/>
      <c r="AU958" s="109"/>
      <c r="AV958" s="109"/>
      <c r="AW958" s="109"/>
      <c r="AX958" s="109"/>
      <c r="AY958" s="109"/>
      <c r="AZ958" s="109"/>
      <c r="BA958" s="109"/>
      <c r="BB958" s="109"/>
      <c r="BC958" s="109"/>
      <c r="BD958" s="109"/>
      <c r="BE958" s="109"/>
      <c r="BF958" s="109"/>
      <c r="BG958" s="109"/>
      <c r="BH958" s="109"/>
      <c r="BI958" s="109"/>
      <c r="BJ958" s="109"/>
      <c r="BK958" s="109"/>
      <c r="BL958" s="109"/>
      <c r="BM958" s="109"/>
      <c r="BN958" s="109"/>
      <c r="BO958" s="109"/>
      <c r="BP958" s="109"/>
      <c r="BQ958" s="109"/>
      <c r="BR958" s="109"/>
      <c r="BS958" s="109"/>
      <c r="BT958" s="109"/>
      <c r="BU958" s="109"/>
    </row>
    <row r="959" ht="15.75" customHeight="1">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10"/>
      <c r="X959" s="109"/>
      <c r="Y959" s="109"/>
      <c r="Z959" s="109"/>
      <c r="AA959" s="109"/>
      <c r="AB959" s="109"/>
      <c r="AC959" s="109"/>
      <c r="AD959" s="109"/>
      <c r="AE959" s="109"/>
      <c r="AF959" s="109"/>
      <c r="AG959" s="109"/>
      <c r="AH959" s="109"/>
      <c r="AI959" s="109"/>
      <c r="AJ959" s="109"/>
      <c r="AK959" s="109"/>
      <c r="AL959" s="109"/>
      <c r="AM959" s="109"/>
      <c r="AN959" s="109"/>
      <c r="AO959" s="109"/>
      <c r="AP959" s="109"/>
      <c r="AQ959" s="109"/>
      <c r="AR959" s="109"/>
      <c r="AS959" s="109"/>
      <c r="AT959" s="109"/>
      <c r="AU959" s="109"/>
      <c r="AV959" s="109"/>
      <c r="AW959" s="109"/>
      <c r="AX959" s="109"/>
      <c r="AY959" s="109"/>
      <c r="AZ959" s="109"/>
      <c r="BA959" s="109"/>
      <c r="BB959" s="109"/>
      <c r="BC959" s="109"/>
      <c r="BD959" s="109"/>
      <c r="BE959" s="109"/>
      <c r="BF959" s="109"/>
      <c r="BG959" s="109"/>
      <c r="BH959" s="109"/>
      <c r="BI959" s="109"/>
      <c r="BJ959" s="109"/>
      <c r="BK959" s="109"/>
      <c r="BL959" s="109"/>
      <c r="BM959" s="109"/>
      <c r="BN959" s="109"/>
      <c r="BO959" s="109"/>
      <c r="BP959" s="109"/>
      <c r="BQ959" s="109"/>
      <c r="BR959" s="109"/>
      <c r="BS959" s="109"/>
      <c r="BT959" s="109"/>
      <c r="BU959" s="109"/>
    </row>
    <row r="960" ht="15.75" customHeight="1">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10"/>
      <c r="X960" s="109"/>
      <c r="Y960" s="109"/>
      <c r="Z960" s="109"/>
      <c r="AA960" s="109"/>
      <c r="AB960" s="109"/>
      <c r="AC960" s="109"/>
      <c r="AD960" s="109"/>
      <c r="AE960" s="109"/>
      <c r="AF960" s="109"/>
      <c r="AG960" s="109"/>
      <c r="AH960" s="109"/>
      <c r="AI960" s="109"/>
      <c r="AJ960" s="109"/>
      <c r="AK960" s="109"/>
      <c r="AL960" s="109"/>
      <c r="AM960" s="109"/>
      <c r="AN960" s="109"/>
      <c r="AO960" s="109"/>
      <c r="AP960" s="109"/>
      <c r="AQ960" s="109"/>
      <c r="AR960" s="109"/>
      <c r="AS960" s="109"/>
      <c r="AT960" s="109"/>
      <c r="AU960" s="109"/>
      <c r="AV960" s="109"/>
      <c r="AW960" s="109"/>
      <c r="AX960" s="109"/>
      <c r="AY960" s="109"/>
      <c r="AZ960" s="109"/>
      <c r="BA960" s="109"/>
      <c r="BB960" s="109"/>
      <c r="BC960" s="109"/>
      <c r="BD960" s="109"/>
      <c r="BE960" s="109"/>
      <c r="BF960" s="109"/>
      <c r="BG960" s="109"/>
      <c r="BH960" s="109"/>
      <c r="BI960" s="109"/>
      <c r="BJ960" s="109"/>
      <c r="BK960" s="109"/>
      <c r="BL960" s="109"/>
      <c r="BM960" s="109"/>
      <c r="BN960" s="109"/>
      <c r="BO960" s="109"/>
      <c r="BP960" s="109"/>
      <c r="BQ960" s="109"/>
      <c r="BR960" s="109"/>
      <c r="BS960" s="109"/>
      <c r="BT960" s="109"/>
      <c r="BU960" s="109"/>
    </row>
    <row r="961" ht="15.75" customHeight="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10"/>
      <c r="X961" s="109"/>
      <c r="Y961" s="109"/>
      <c r="Z961" s="109"/>
      <c r="AA961" s="109"/>
      <c r="AB961" s="109"/>
      <c r="AC961" s="109"/>
      <c r="AD961" s="109"/>
      <c r="AE961" s="109"/>
      <c r="AF961" s="109"/>
      <c r="AG961" s="109"/>
      <c r="AH961" s="109"/>
      <c r="AI961" s="109"/>
      <c r="AJ961" s="109"/>
      <c r="AK961" s="109"/>
      <c r="AL961" s="109"/>
      <c r="AM961" s="109"/>
      <c r="AN961" s="109"/>
      <c r="AO961" s="109"/>
      <c r="AP961" s="109"/>
      <c r="AQ961" s="109"/>
      <c r="AR961" s="109"/>
      <c r="AS961" s="109"/>
      <c r="AT961" s="109"/>
      <c r="AU961" s="109"/>
      <c r="AV961" s="109"/>
      <c r="AW961" s="109"/>
      <c r="AX961" s="109"/>
      <c r="AY961" s="109"/>
      <c r="AZ961" s="109"/>
      <c r="BA961" s="109"/>
      <c r="BB961" s="109"/>
      <c r="BC961" s="109"/>
      <c r="BD961" s="109"/>
      <c r="BE961" s="109"/>
      <c r="BF961" s="109"/>
      <c r="BG961" s="109"/>
      <c r="BH961" s="109"/>
      <c r="BI961" s="109"/>
      <c r="BJ961" s="109"/>
      <c r="BK961" s="109"/>
      <c r="BL961" s="109"/>
      <c r="BM961" s="109"/>
      <c r="BN961" s="109"/>
      <c r="BO961" s="109"/>
      <c r="BP961" s="109"/>
      <c r="BQ961" s="109"/>
      <c r="BR961" s="109"/>
      <c r="BS961" s="109"/>
      <c r="BT961" s="109"/>
      <c r="BU961" s="109"/>
    </row>
    <row r="962" ht="15.75" customHeight="1">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10"/>
      <c r="X962" s="109"/>
      <c r="Y962" s="109"/>
      <c r="Z962" s="109"/>
      <c r="AA962" s="109"/>
      <c r="AB962" s="109"/>
      <c r="AC962" s="109"/>
      <c r="AD962" s="109"/>
      <c r="AE962" s="109"/>
      <c r="AF962" s="109"/>
      <c r="AG962" s="109"/>
      <c r="AH962" s="109"/>
      <c r="AI962" s="109"/>
      <c r="AJ962" s="109"/>
      <c r="AK962" s="109"/>
      <c r="AL962" s="109"/>
      <c r="AM962" s="109"/>
      <c r="AN962" s="109"/>
      <c r="AO962" s="109"/>
      <c r="AP962" s="109"/>
      <c r="AQ962" s="109"/>
      <c r="AR962" s="109"/>
      <c r="AS962" s="109"/>
      <c r="AT962" s="109"/>
      <c r="AU962" s="109"/>
      <c r="AV962" s="109"/>
      <c r="AW962" s="109"/>
      <c r="AX962" s="109"/>
      <c r="AY962" s="109"/>
      <c r="AZ962" s="109"/>
      <c r="BA962" s="109"/>
      <c r="BB962" s="109"/>
      <c r="BC962" s="109"/>
      <c r="BD962" s="109"/>
      <c r="BE962" s="109"/>
      <c r="BF962" s="109"/>
      <c r="BG962" s="109"/>
      <c r="BH962" s="109"/>
      <c r="BI962" s="109"/>
      <c r="BJ962" s="109"/>
      <c r="BK962" s="109"/>
      <c r="BL962" s="109"/>
      <c r="BM962" s="109"/>
      <c r="BN962" s="109"/>
      <c r="BO962" s="109"/>
      <c r="BP962" s="109"/>
      <c r="BQ962" s="109"/>
      <c r="BR962" s="109"/>
      <c r="BS962" s="109"/>
      <c r="BT962" s="109"/>
      <c r="BU962" s="109"/>
    </row>
    <row r="963" ht="15.75" customHeight="1">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10"/>
      <c r="X963" s="109"/>
      <c r="Y963" s="109"/>
      <c r="Z963" s="109"/>
      <c r="AA963" s="109"/>
      <c r="AB963" s="109"/>
      <c r="AC963" s="109"/>
      <c r="AD963" s="109"/>
      <c r="AE963" s="109"/>
      <c r="AF963" s="109"/>
      <c r="AG963" s="109"/>
      <c r="AH963" s="109"/>
      <c r="AI963" s="109"/>
      <c r="AJ963" s="109"/>
      <c r="AK963" s="109"/>
      <c r="AL963" s="109"/>
      <c r="AM963" s="109"/>
      <c r="AN963" s="109"/>
      <c r="AO963" s="109"/>
      <c r="AP963" s="109"/>
      <c r="AQ963" s="109"/>
      <c r="AR963" s="109"/>
      <c r="AS963" s="109"/>
      <c r="AT963" s="109"/>
      <c r="AU963" s="109"/>
      <c r="AV963" s="109"/>
      <c r="AW963" s="109"/>
      <c r="AX963" s="109"/>
      <c r="AY963" s="109"/>
      <c r="AZ963" s="109"/>
      <c r="BA963" s="109"/>
      <c r="BB963" s="109"/>
      <c r="BC963" s="109"/>
      <c r="BD963" s="109"/>
      <c r="BE963" s="109"/>
      <c r="BF963" s="109"/>
      <c r="BG963" s="109"/>
      <c r="BH963" s="109"/>
      <c r="BI963" s="109"/>
      <c r="BJ963" s="109"/>
      <c r="BK963" s="109"/>
      <c r="BL963" s="109"/>
      <c r="BM963" s="109"/>
      <c r="BN963" s="109"/>
      <c r="BO963" s="109"/>
      <c r="BP963" s="109"/>
      <c r="BQ963" s="109"/>
      <c r="BR963" s="109"/>
      <c r="BS963" s="109"/>
      <c r="BT963" s="109"/>
      <c r="BU963" s="109"/>
    </row>
    <row r="964" ht="15.75" customHeight="1">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10"/>
      <c r="X964" s="109"/>
      <c r="Y964" s="109"/>
      <c r="Z964" s="109"/>
      <c r="AA964" s="109"/>
      <c r="AB964" s="109"/>
      <c r="AC964" s="109"/>
      <c r="AD964" s="109"/>
      <c r="AE964" s="109"/>
      <c r="AF964" s="109"/>
      <c r="AG964" s="109"/>
      <c r="AH964" s="109"/>
      <c r="AI964" s="109"/>
      <c r="AJ964" s="109"/>
      <c r="AK964" s="109"/>
      <c r="AL964" s="109"/>
      <c r="AM964" s="109"/>
      <c r="AN964" s="109"/>
      <c r="AO964" s="109"/>
      <c r="AP964" s="109"/>
      <c r="AQ964" s="109"/>
      <c r="AR964" s="109"/>
      <c r="AS964" s="109"/>
      <c r="AT964" s="109"/>
      <c r="AU964" s="109"/>
      <c r="AV964" s="109"/>
      <c r="AW964" s="109"/>
      <c r="AX964" s="109"/>
      <c r="AY964" s="109"/>
      <c r="AZ964" s="109"/>
      <c r="BA964" s="109"/>
      <c r="BB964" s="109"/>
      <c r="BC964" s="109"/>
      <c r="BD964" s="109"/>
      <c r="BE964" s="109"/>
      <c r="BF964" s="109"/>
      <c r="BG964" s="109"/>
      <c r="BH964" s="109"/>
      <c r="BI964" s="109"/>
      <c r="BJ964" s="109"/>
      <c r="BK964" s="109"/>
      <c r="BL964" s="109"/>
      <c r="BM964" s="109"/>
      <c r="BN964" s="109"/>
      <c r="BO964" s="109"/>
      <c r="BP964" s="109"/>
      <c r="BQ964" s="109"/>
      <c r="BR964" s="109"/>
      <c r="BS964" s="109"/>
      <c r="BT964" s="109"/>
      <c r="BU964" s="109"/>
    </row>
    <row r="965" ht="15.75" customHeight="1">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10"/>
      <c r="X965" s="109"/>
      <c r="Y965" s="109"/>
      <c r="Z965" s="109"/>
      <c r="AA965" s="109"/>
      <c r="AB965" s="109"/>
      <c r="AC965" s="109"/>
      <c r="AD965" s="109"/>
      <c r="AE965" s="109"/>
      <c r="AF965" s="109"/>
      <c r="AG965" s="109"/>
      <c r="AH965" s="109"/>
      <c r="AI965" s="109"/>
      <c r="AJ965" s="109"/>
      <c r="AK965" s="109"/>
      <c r="AL965" s="109"/>
      <c r="AM965" s="109"/>
      <c r="AN965" s="109"/>
      <c r="AO965" s="109"/>
      <c r="AP965" s="109"/>
      <c r="AQ965" s="109"/>
      <c r="AR965" s="109"/>
      <c r="AS965" s="109"/>
      <c r="AT965" s="109"/>
      <c r="AU965" s="109"/>
      <c r="AV965" s="109"/>
      <c r="AW965" s="109"/>
      <c r="AX965" s="109"/>
      <c r="AY965" s="109"/>
      <c r="AZ965" s="109"/>
      <c r="BA965" s="109"/>
      <c r="BB965" s="109"/>
      <c r="BC965" s="109"/>
      <c r="BD965" s="109"/>
      <c r="BE965" s="109"/>
      <c r="BF965" s="109"/>
      <c r="BG965" s="109"/>
      <c r="BH965" s="109"/>
      <c r="BI965" s="109"/>
      <c r="BJ965" s="109"/>
      <c r="BK965" s="109"/>
      <c r="BL965" s="109"/>
      <c r="BM965" s="109"/>
      <c r="BN965" s="109"/>
      <c r="BO965" s="109"/>
      <c r="BP965" s="109"/>
      <c r="BQ965" s="109"/>
      <c r="BR965" s="109"/>
      <c r="BS965" s="109"/>
      <c r="BT965" s="109"/>
      <c r="BU965" s="109"/>
    </row>
    <row r="966" ht="15.75" customHeight="1">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10"/>
      <c r="X966" s="109"/>
      <c r="Y966" s="109"/>
      <c r="Z966" s="109"/>
      <c r="AA966" s="109"/>
      <c r="AB966" s="109"/>
      <c r="AC966" s="109"/>
      <c r="AD966" s="109"/>
      <c r="AE966" s="109"/>
      <c r="AF966" s="109"/>
      <c r="AG966" s="109"/>
      <c r="AH966" s="109"/>
      <c r="AI966" s="109"/>
      <c r="AJ966" s="109"/>
      <c r="AK966" s="109"/>
      <c r="AL966" s="109"/>
      <c r="AM966" s="109"/>
      <c r="AN966" s="109"/>
      <c r="AO966" s="109"/>
      <c r="AP966" s="109"/>
      <c r="AQ966" s="109"/>
      <c r="AR966" s="109"/>
      <c r="AS966" s="109"/>
      <c r="AT966" s="109"/>
      <c r="AU966" s="109"/>
      <c r="AV966" s="109"/>
      <c r="AW966" s="109"/>
      <c r="AX966" s="109"/>
      <c r="AY966" s="109"/>
      <c r="AZ966" s="109"/>
      <c r="BA966" s="109"/>
      <c r="BB966" s="109"/>
      <c r="BC966" s="109"/>
      <c r="BD966" s="109"/>
      <c r="BE966" s="109"/>
      <c r="BF966" s="109"/>
      <c r="BG966" s="109"/>
      <c r="BH966" s="109"/>
      <c r="BI966" s="109"/>
      <c r="BJ966" s="109"/>
      <c r="BK966" s="109"/>
      <c r="BL966" s="109"/>
      <c r="BM966" s="109"/>
      <c r="BN966" s="109"/>
      <c r="BO966" s="109"/>
      <c r="BP966" s="109"/>
      <c r="BQ966" s="109"/>
      <c r="BR966" s="109"/>
      <c r="BS966" s="109"/>
      <c r="BT966" s="109"/>
      <c r="BU966" s="109"/>
    </row>
    <row r="967" ht="15.75" customHeight="1">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10"/>
      <c r="X967" s="109"/>
      <c r="Y967" s="109"/>
      <c r="Z967" s="109"/>
      <c r="AA967" s="109"/>
      <c r="AB967" s="109"/>
      <c r="AC967" s="109"/>
      <c r="AD967" s="109"/>
      <c r="AE967" s="109"/>
      <c r="AF967" s="109"/>
      <c r="AG967" s="109"/>
      <c r="AH967" s="109"/>
      <c r="AI967" s="109"/>
      <c r="AJ967" s="109"/>
      <c r="AK967" s="109"/>
      <c r="AL967" s="109"/>
      <c r="AM967" s="109"/>
      <c r="AN967" s="109"/>
      <c r="AO967" s="109"/>
      <c r="AP967" s="109"/>
      <c r="AQ967" s="109"/>
      <c r="AR967" s="109"/>
      <c r="AS967" s="109"/>
      <c r="AT967" s="109"/>
      <c r="AU967" s="109"/>
      <c r="AV967" s="109"/>
      <c r="AW967" s="109"/>
      <c r="AX967" s="109"/>
      <c r="AY967" s="109"/>
      <c r="AZ967" s="109"/>
      <c r="BA967" s="109"/>
      <c r="BB967" s="109"/>
      <c r="BC967" s="109"/>
      <c r="BD967" s="109"/>
      <c r="BE967" s="109"/>
      <c r="BF967" s="109"/>
      <c r="BG967" s="109"/>
      <c r="BH967" s="109"/>
      <c r="BI967" s="109"/>
      <c r="BJ967" s="109"/>
      <c r="BK967" s="109"/>
      <c r="BL967" s="109"/>
      <c r="BM967" s="109"/>
      <c r="BN967" s="109"/>
      <c r="BO967" s="109"/>
      <c r="BP967" s="109"/>
      <c r="BQ967" s="109"/>
      <c r="BR967" s="109"/>
      <c r="BS967" s="109"/>
      <c r="BT967" s="109"/>
      <c r="BU967" s="109"/>
    </row>
    <row r="968" ht="15.75" customHeight="1">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10"/>
      <c r="X968" s="109"/>
      <c r="Y968" s="109"/>
      <c r="Z968" s="109"/>
      <c r="AA968" s="109"/>
      <c r="AB968" s="109"/>
      <c r="AC968" s="109"/>
      <c r="AD968" s="109"/>
      <c r="AE968" s="109"/>
      <c r="AF968" s="109"/>
      <c r="AG968" s="109"/>
      <c r="AH968" s="109"/>
      <c r="AI968" s="109"/>
      <c r="AJ968" s="109"/>
      <c r="AK968" s="109"/>
      <c r="AL968" s="109"/>
      <c r="AM968" s="109"/>
      <c r="AN968" s="109"/>
      <c r="AO968" s="109"/>
      <c r="AP968" s="109"/>
      <c r="AQ968" s="109"/>
      <c r="AR968" s="109"/>
      <c r="AS968" s="109"/>
      <c r="AT968" s="109"/>
      <c r="AU968" s="109"/>
      <c r="AV968" s="109"/>
      <c r="AW968" s="109"/>
      <c r="AX968" s="109"/>
      <c r="AY968" s="109"/>
      <c r="AZ968" s="109"/>
      <c r="BA968" s="109"/>
      <c r="BB968" s="109"/>
      <c r="BC968" s="109"/>
      <c r="BD968" s="109"/>
      <c r="BE968" s="109"/>
      <c r="BF968" s="109"/>
      <c r="BG968" s="109"/>
      <c r="BH968" s="109"/>
      <c r="BI968" s="109"/>
      <c r="BJ968" s="109"/>
      <c r="BK968" s="109"/>
      <c r="BL968" s="109"/>
      <c r="BM968" s="109"/>
      <c r="BN968" s="109"/>
      <c r="BO968" s="109"/>
      <c r="BP968" s="109"/>
      <c r="BQ968" s="109"/>
      <c r="BR968" s="109"/>
      <c r="BS968" s="109"/>
      <c r="BT968" s="109"/>
      <c r="BU968" s="109"/>
    </row>
    <row r="969" ht="15.75" customHeight="1">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10"/>
      <c r="X969" s="109"/>
      <c r="Y969" s="109"/>
      <c r="Z969" s="109"/>
      <c r="AA969" s="109"/>
      <c r="AB969" s="109"/>
      <c r="AC969" s="109"/>
      <c r="AD969" s="109"/>
      <c r="AE969" s="109"/>
      <c r="AF969" s="109"/>
      <c r="AG969" s="109"/>
      <c r="AH969" s="109"/>
      <c r="AI969" s="109"/>
      <c r="AJ969" s="109"/>
      <c r="AK969" s="109"/>
      <c r="AL969" s="109"/>
      <c r="AM969" s="109"/>
      <c r="AN969" s="109"/>
      <c r="AO969" s="109"/>
      <c r="AP969" s="109"/>
      <c r="AQ969" s="109"/>
      <c r="AR969" s="109"/>
      <c r="AS969" s="109"/>
      <c r="AT969" s="109"/>
      <c r="AU969" s="109"/>
      <c r="AV969" s="109"/>
      <c r="AW969" s="109"/>
      <c r="AX969" s="109"/>
      <c r="AY969" s="109"/>
      <c r="AZ969" s="109"/>
      <c r="BA969" s="109"/>
      <c r="BB969" s="109"/>
      <c r="BC969" s="109"/>
      <c r="BD969" s="109"/>
      <c r="BE969" s="109"/>
      <c r="BF969" s="109"/>
      <c r="BG969" s="109"/>
      <c r="BH969" s="109"/>
      <c r="BI969" s="109"/>
      <c r="BJ969" s="109"/>
      <c r="BK969" s="109"/>
      <c r="BL969" s="109"/>
      <c r="BM969" s="109"/>
      <c r="BN969" s="109"/>
      <c r="BO969" s="109"/>
      <c r="BP969" s="109"/>
      <c r="BQ969" s="109"/>
      <c r="BR969" s="109"/>
      <c r="BS969" s="109"/>
      <c r="BT969" s="109"/>
      <c r="BU969" s="109"/>
    </row>
    <row r="970" ht="15.75" customHeight="1">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10"/>
      <c r="X970" s="109"/>
      <c r="Y970" s="109"/>
      <c r="Z970" s="109"/>
      <c r="AA970" s="109"/>
      <c r="AB970" s="109"/>
      <c r="AC970" s="109"/>
      <c r="AD970" s="109"/>
      <c r="AE970" s="109"/>
      <c r="AF970" s="109"/>
      <c r="AG970" s="109"/>
      <c r="AH970" s="109"/>
      <c r="AI970" s="109"/>
      <c r="AJ970" s="109"/>
      <c r="AK970" s="109"/>
      <c r="AL970" s="109"/>
      <c r="AM970" s="109"/>
      <c r="AN970" s="109"/>
      <c r="AO970" s="109"/>
      <c r="AP970" s="109"/>
      <c r="AQ970" s="109"/>
      <c r="AR970" s="109"/>
      <c r="AS970" s="109"/>
      <c r="AT970" s="109"/>
      <c r="AU970" s="109"/>
      <c r="AV970" s="109"/>
      <c r="AW970" s="109"/>
      <c r="AX970" s="109"/>
      <c r="AY970" s="109"/>
      <c r="AZ970" s="109"/>
      <c r="BA970" s="109"/>
      <c r="BB970" s="109"/>
      <c r="BC970" s="109"/>
      <c r="BD970" s="109"/>
      <c r="BE970" s="109"/>
      <c r="BF970" s="109"/>
      <c r="BG970" s="109"/>
      <c r="BH970" s="109"/>
      <c r="BI970" s="109"/>
      <c r="BJ970" s="109"/>
      <c r="BK970" s="109"/>
      <c r="BL970" s="109"/>
      <c r="BM970" s="109"/>
      <c r="BN970" s="109"/>
      <c r="BO970" s="109"/>
      <c r="BP970" s="109"/>
      <c r="BQ970" s="109"/>
      <c r="BR970" s="109"/>
      <c r="BS970" s="109"/>
      <c r="BT970" s="109"/>
      <c r="BU970" s="109"/>
    </row>
    <row r="971" ht="15.75" customHeight="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10"/>
      <c r="X971" s="109"/>
      <c r="Y971" s="109"/>
      <c r="Z971" s="109"/>
      <c r="AA971" s="109"/>
      <c r="AB971" s="109"/>
      <c r="AC971" s="109"/>
      <c r="AD971" s="109"/>
      <c r="AE971" s="109"/>
      <c r="AF971" s="109"/>
      <c r="AG971" s="109"/>
      <c r="AH971" s="109"/>
      <c r="AI971" s="109"/>
      <c r="AJ971" s="109"/>
      <c r="AK971" s="109"/>
      <c r="AL971" s="109"/>
      <c r="AM971" s="109"/>
      <c r="AN971" s="109"/>
      <c r="AO971" s="109"/>
      <c r="AP971" s="109"/>
      <c r="AQ971" s="109"/>
      <c r="AR971" s="109"/>
      <c r="AS971" s="109"/>
      <c r="AT971" s="109"/>
      <c r="AU971" s="109"/>
      <c r="AV971" s="109"/>
      <c r="AW971" s="109"/>
      <c r="AX971" s="109"/>
      <c r="AY971" s="109"/>
      <c r="AZ971" s="109"/>
      <c r="BA971" s="109"/>
      <c r="BB971" s="109"/>
      <c r="BC971" s="109"/>
      <c r="BD971" s="109"/>
      <c r="BE971" s="109"/>
      <c r="BF971" s="109"/>
      <c r="BG971" s="109"/>
      <c r="BH971" s="109"/>
      <c r="BI971" s="109"/>
      <c r="BJ971" s="109"/>
      <c r="BK971" s="109"/>
      <c r="BL971" s="109"/>
      <c r="BM971" s="109"/>
      <c r="BN971" s="109"/>
      <c r="BO971" s="109"/>
      <c r="BP971" s="109"/>
      <c r="BQ971" s="109"/>
      <c r="BR971" s="109"/>
      <c r="BS971" s="109"/>
      <c r="BT971" s="109"/>
      <c r="BU971" s="109"/>
    </row>
    <row r="972" ht="15.75" customHeight="1">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10"/>
      <c r="X972" s="109"/>
      <c r="Y972" s="109"/>
      <c r="Z972" s="109"/>
      <c r="AA972" s="109"/>
      <c r="AB972" s="109"/>
      <c r="AC972" s="109"/>
      <c r="AD972" s="109"/>
      <c r="AE972" s="109"/>
      <c r="AF972" s="109"/>
      <c r="AG972" s="109"/>
      <c r="AH972" s="109"/>
      <c r="AI972" s="109"/>
      <c r="AJ972" s="109"/>
      <c r="AK972" s="109"/>
      <c r="AL972" s="109"/>
      <c r="AM972" s="109"/>
      <c r="AN972" s="109"/>
      <c r="AO972" s="109"/>
      <c r="AP972" s="109"/>
      <c r="AQ972" s="109"/>
      <c r="AR972" s="109"/>
      <c r="AS972" s="109"/>
      <c r="AT972" s="109"/>
      <c r="AU972" s="109"/>
      <c r="AV972" s="109"/>
      <c r="AW972" s="109"/>
      <c r="AX972" s="109"/>
      <c r="AY972" s="109"/>
      <c r="AZ972" s="109"/>
      <c r="BA972" s="109"/>
      <c r="BB972" s="109"/>
      <c r="BC972" s="109"/>
      <c r="BD972" s="109"/>
      <c r="BE972" s="109"/>
      <c r="BF972" s="109"/>
      <c r="BG972" s="109"/>
      <c r="BH972" s="109"/>
      <c r="BI972" s="109"/>
      <c r="BJ972" s="109"/>
      <c r="BK972" s="109"/>
      <c r="BL972" s="109"/>
      <c r="BM972" s="109"/>
      <c r="BN972" s="109"/>
      <c r="BO972" s="109"/>
      <c r="BP972" s="109"/>
      <c r="BQ972" s="109"/>
      <c r="BR972" s="109"/>
      <c r="BS972" s="109"/>
      <c r="BT972" s="109"/>
      <c r="BU972" s="109"/>
    </row>
    <row r="973" ht="15.75" customHeight="1">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10"/>
      <c r="X973" s="109"/>
      <c r="Y973" s="109"/>
      <c r="Z973" s="109"/>
      <c r="AA973" s="109"/>
      <c r="AB973" s="109"/>
      <c r="AC973" s="109"/>
      <c r="AD973" s="109"/>
      <c r="AE973" s="109"/>
      <c r="AF973" s="109"/>
      <c r="AG973" s="109"/>
      <c r="AH973" s="109"/>
      <c r="AI973" s="109"/>
      <c r="AJ973" s="109"/>
      <c r="AK973" s="109"/>
      <c r="AL973" s="109"/>
      <c r="AM973" s="109"/>
      <c r="AN973" s="109"/>
      <c r="AO973" s="109"/>
      <c r="AP973" s="109"/>
      <c r="AQ973" s="109"/>
      <c r="AR973" s="109"/>
      <c r="AS973" s="109"/>
      <c r="AT973" s="109"/>
      <c r="AU973" s="109"/>
      <c r="AV973" s="109"/>
      <c r="AW973" s="109"/>
      <c r="AX973" s="109"/>
      <c r="AY973" s="109"/>
      <c r="AZ973" s="109"/>
      <c r="BA973" s="109"/>
      <c r="BB973" s="109"/>
      <c r="BC973" s="109"/>
      <c r="BD973" s="109"/>
      <c r="BE973" s="109"/>
      <c r="BF973" s="109"/>
      <c r="BG973" s="109"/>
      <c r="BH973" s="109"/>
      <c r="BI973" s="109"/>
      <c r="BJ973" s="109"/>
      <c r="BK973" s="109"/>
      <c r="BL973" s="109"/>
      <c r="BM973" s="109"/>
      <c r="BN973" s="109"/>
      <c r="BO973" s="109"/>
      <c r="BP973" s="109"/>
      <c r="BQ973" s="109"/>
      <c r="BR973" s="109"/>
      <c r="BS973" s="109"/>
      <c r="BT973" s="109"/>
      <c r="BU973" s="109"/>
    </row>
    <row r="974" ht="15.75" customHeight="1">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10"/>
      <c r="X974" s="109"/>
      <c r="Y974" s="109"/>
      <c r="Z974" s="109"/>
      <c r="AA974" s="109"/>
      <c r="AB974" s="109"/>
      <c r="AC974" s="109"/>
      <c r="AD974" s="109"/>
      <c r="AE974" s="109"/>
      <c r="AF974" s="109"/>
      <c r="AG974" s="109"/>
      <c r="AH974" s="109"/>
      <c r="AI974" s="109"/>
      <c r="AJ974" s="109"/>
      <c r="AK974" s="109"/>
      <c r="AL974" s="109"/>
      <c r="AM974" s="109"/>
      <c r="AN974" s="109"/>
      <c r="AO974" s="109"/>
      <c r="AP974" s="109"/>
      <c r="AQ974" s="109"/>
      <c r="AR974" s="109"/>
      <c r="AS974" s="109"/>
      <c r="AT974" s="109"/>
      <c r="AU974" s="109"/>
      <c r="AV974" s="109"/>
      <c r="AW974" s="109"/>
      <c r="AX974" s="109"/>
      <c r="AY974" s="109"/>
      <c r="AZ974" s="109"/>
      <c r="BA974" s="109"/>
      <c r="BB974" s="109"/>
      <c r="BC974" s="109"/>
      <c r="BD974" s="109"/>
      <c r="BE974" s="109"/>
      <c r="BF974" s="109"/>
      <c r="BG974" s="109"/>
      <c r="BH974" s="109"/>
      <c r="BI974" s="109"/>
      <c r="BJ974" s="109"/>
      <c r="BK974" s="109"/>
      <c r="BL974" s="109"/>
      <c r="BM974" s="109"/>
      <c r="BN974" s="109"/>
      <c r="BO974" s="109"/>
      <c r="BP974" s="109"/>
      <c r="BQ974" s="109"/>
      <c r="BR974" s="109"/>
      <c r="BS974" s="109"/>
      <c r="BT974" s="109"/>
      <c r="BU974" s="109"/>
    </row>
    <row r="975" ht="15.75" customHeight="1">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10"/>
      <c r="X975" s="109"/>
      <c r="Y975" s="109"/>
      <c r="Z975" s="109"/>
      <c r="AA975" s="109"/>
      <c r="AB975" s="109"/>
      <c r="AC975" s="109"/>
      <c r="AD975" s="109"/>
      <c r="AE975" s="109"/>
      <c r="AF975" s="109"/>
      <c r="AG975" s="109"/>
      <c r="AH975" s="109"/>
      <c r="AI975" s="109"/>
      <c r="AJ975" s="109"/>
      <c r="AK975" s="109"/>
      <c r="AL975" s="109"/>
      <c r="AM975" s="109"/>
      <c r="AN975" s="109"/>
      <c r="AO975" s="109"/>
      <c r="AP975" s="109"/>
      <c r="AQ975" s="109"/>
      <c r="AR975" s="109"/>
      <c r="AS975" s="109"/>
      <c r="AT975" s="109"/>
      <c r="AU975" s="109"/>
      <c r="AV975" s="109"/>
      <c r="AW975" s="109"/>
      <c r="AX975" s="109"/>
      <c r="AY975" s="109"/>
      <c r="AZ975" s="109"/>
      <c r="BA975" s="109"/>
      <c r="BB975" s="109"/>
      <c r="BC975" s="109"/>
      <c r="BD975" s="109"/>
      <c r="BE975" s="109"/>
      <c r="BF975" s="109"/>
      <c r="BG975" s="109"/>
      <c r="BH975" s="109"/>
      <c r="BI975" s="109"/>
      <c r="BJ975" s="109"/>
      <c r="BK975" s="109"/>
      <c r="BL975" s="109"/>
      <c r="BM975" s="109"/>
      <c r="BN975" s="109"/>
      <c r="BO975" s="109"/>
      <c r="BP975" s="109"/>
      <c r="BQ975" s="109"/>
      <c r="BR975" s="109"/>
      <c r="BS975" s="109"/>
      <c r="BT975" s="109"/>
      <c r="BU975" s="109"/>
    </row>
    <row r="976" ht="15.75" customHeight="1">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10"/>
      <c r="X976" s="109"/>
      <c r="Y976" s="109"/>
      <c r="Z976" s="109"/>
      <c r="AA976" s="109"/>
      <c r="AB976" s="109"/>
      <c r="AC976" s="109"/>
      <c r="AD976" s="109"/>
      <c r="AE976" s="109"/>
      <c r="AF976" s="109"/>
      <c r="AG976" s="109"/>
      <c r="AH976" s="109"/>
      <c r="AI976" s="109"/>
      <c r="AJ976" s="109"/>
      <c r="AK976" s="109"/>
      <c r="AL976" s="109"/>
      <c r="AM976" s="109"/>
      <c r="AN976" s="109"/>
      <c r="AO976" s="109"/>
      <c r="AP976" s="109"/>
      <c r="AQ976" s="109"/>
      <c r="AR976" s="109"/>
      <c r="AS976" s="109"/>
      <c r="AT976" s="109"/>
      <c r="AU976" s="109"/>
      <c r="AV976" s="109"/>
      <c r="AW976" s="109"/>
      <c r="AX976" s="109"/>
      <c r="AY976" s="109"/>
      <c r="AZ976" s="109"/>
      <c r="BA976" s="109"/>
      <c r="BB976" s="109"/>
      <c r="BC976" s="109"/>
      <c r="BD976" s="109"/>
      <c r="BE976" s="109"/>
      <c r="BF976" s="109"/>
      <c r="BG976" s="109"/>
      <c r="BH976" s="109"/>
      <c r="BI976" s="109"/>
      <c r="BJ976" s="109"/>
      <c r="BK976" s="109"/>
      <c r="BL976" s="109"/>
      <c r="BM976" s="109"/>
      <c r="BN976" s="109"/>
      <c r="BO976" s="109"/>
      <c r="BP976" s="109"/>
      <c r="BQ976" s="109"/>
      <c r="BR976" s="109"/>
      <c r="BS976" s="109"/>
      <c r="BT976" s="109"/>
      <c r="BU976" s="109"/>
    </row>
    <row r="977" ht="15.75" customHeight="1">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10"/>
      <c r="X977" s="109"/>
      <c r="Y977" s="109"/>
      <c r="Z977" s="109"/>
      <c r="AA977" s="109"/>
      <c r="AB977" s="109"/>
      <c r="AC977" s="109"/>
      <c r="AD977" s="109"/>
      <c r="AE977" s="109"/>
      <c r="AF977" s="109"/>
      <c r="AG977" s="109"/>
      <c r="AH977" s="109"/>
      <c r="AI977" s="109"/>
      <c r="AJ977" s="109"/>
      <c r="AK977" s="109"/>
      <c r="AL977" s="109"/>
      <c r="AM977" s="109"/>
      <c r="AN977" s="109"/>
      <c r="AO977" s="109"/>
      <c r="AP977" s="109"/>
      <c r="AQ977" s="109"/>
      <c r="AR977" s="109"/>
      <c r="AS977" s="109"/>
      <c r="AT977" s="109"/>
      <c r="AU977" s="109"/>
      <c r="AV977" s="109"/>
      <c r="AW977" s="109"/>
      <c r="AX977" s="109"/>
      <c r="AY977" s="109"/>
      <c r="AZ977" s="109"/>
      <c r="BA977" s="109"/>
      <c r="BB977" s="109"/>
      <c r="BC977" s="109"/>
      <c r="BD977" s="109"/>
      <c r="BE977" s="109"/>
      <c r="BF977" s="109"/>
      <c r="BG977" s="109"/>
      <c r="BH977" s="109"/>
      <c r="BI977" s="109"/>
      <c r="BJ977" s="109"/>
      <c r="BK977" s="109"/>
      <c r="BL977" s="109"/>
      <c r="BM977" s="109"/>
      <c r="BN977" s="109"/>
      <c r="BO977" s="109"/>
      <c r="BP977" s="109"/>
      <c r="BQ977" s="109"/>
      <c r="BR977" s="109"/>
      <c r="BS977" s="109"/>
      <c r="BT977" s="109"/>
      <c r="BU977" s="109"/>
    </row>
    <row r="978" ht="15.75" customHeight="1">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10"/>
      <c r="X978" s="109"/>
      <c r="Y978" s="109"/>
      <c r="Z978" s="109"/>
      <c r="AA978" s="109"/>
      <c r="AB978" s="109"/>
      <c r="AC978" s="109"/>
      <c r="AD978" s="109"/>
      <c r="AE978" s="109"/>
      <c r="AF978" s="109"/>
      <c r="AG978" s="109"/>
      <c r="AH978" s="109"/>
      <c r="AI978" s="109"/>
      <c r="AJ978" s="109"/>
      <c r="AK978" s="109"/>
      <c r="AL978" s="109"/>
      <c r="AM978" s="109"/>
      <c r="AN978" s="109"/>
      <c r="AO978" s="109"/>
      <c r="AP978" s="109"/>
      <c r="AQ978" s="109"/>
      <c r="AR978" s="109"/>
      <c r="AS978" s="109"/>
      <c r="AT978" s="109"/>
      <c r="AU978" s="109"/>
      <c r="AV978" s="109"/>
      <c r="AW978" s="109"/>
      <c r="AX978" s="109"/>
      <c r="AY978" s="109"/>
      <c r="AZ978" s="109"/>
      <c r="BA978" s="109"/>
      <c r="BB978" s="109"/>
      <c r="BC978" s="109"/>
      <c r="BD978" s="109"/>
      <c r="BE978" s="109"/>
      <c r="BF978" s="109"/>
      <c r="BG978" s="109"/>
      <c r="BH978" s="109"/>
      <c r="BI978" s="109"/>
      <c r="BJ978" s="109"/>
      <c r="BK978" s="109"/>
      <c r="BL978" s="109"/>
      <c r="BM978" s="109"/>
      <c r="BN978" s="109"/>
      <c r="BO978" s="109"/>
      <c r="BP978" s="109"/>
      <c r="BQ978" s="109"/>
      <c r="BR978" s="109"/>
      <c r="BS978" s="109"/>
      <c r="BT978" s="109"/>
      <c r="BU978" s="109"/>
    </row>
    <row r="979" ht="15.75" customHeight="1">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10"/>
      <c r="X979" s="109"/>
      <c r="Y979" s="109"/>
      <c r="Z979" s="109"/>
      <c r="AA979" s="109"/>
      <c r="AB979" s="109"/>
      <c r="AC979" s="109"/>
      <c r="AD979" s="109"/>
      <c r="AE979" s="109"/>
      <c r="AF979" s="109"/>
      <c r="AG979" s="109"/>
      <c r="AH979" s="109"/>
      <c r="AI979" s="109"/>
      <c r="AJ979" s="109"/>
      <c r="AK979" s="109"/>
      <c r="AL979" s="109"/>
      <c r="AM979" s="109"/>
      <c r="AN979" s="109"/>
      <c r="AO979" s="109"/>
      <c r="AP979" s="109"/>
      <c r="AQ979" s="109"/>
      <c r="AR979" s="109"/>
      <c r="AS979" s="109"/>
      <c r="AT979" s="109"/>
      <c r="AU979" s="109"/>
      <c r="AV979" s="109"/>
      <c r="AW979" s="109"/>
      <c r="AX979" s="109"/>
      <c r="AY979" s="109"/>
      <c r="AZ979" s="109"/>
      <c r="BA979" s="109"/>
      <c r="BB979" s="109"/>
      <c r="BC979" s="109"/>
      <c r="BD979" s="109"/>
      <c r="BE979" s="109"/>
      <c r="BF979" s="109"/>
      <c r="BG979" s="109"/>
      <c r="BH979" s="109"/>
      <c r="BI979" s="109"/>
      <c r="BJ979" s="109"/>
      <c r="BK979" s="109"/>
      <c r="BL979" s="109"/>
      <c r="BM979" s="109"/>
      <c r="BN979" s="109"/>
      <c r="BO979" s="109"/>
      <c r="BP979" s="109"/>
      <c r="BQ979" s="109"/>
      <c r="BR979" s="109"/>
      <c r="BS979" s="109"/>
      <c r="BT979" s="109"/>
      <c r="BU979" s="109"/>
    </row>
    <row r="980" ht="15.75" customHeight="1">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10"/>
      <c r="X980" s="109"/>
      <c r="Y980" s="109"/>
      <c r="Z980" s="109"/>
      <c r="AA980" s="109"/>
      <c r="AB980" s="109"/>
      <c r="AC980" s="109"/>
      <c r="AD980" s="109"/>
      <c r="AE980" s="109"/>
      <c r="AF980" s="109"/>
      <c r="AG980" s="109"/>
      <c r="AH980" s="109"/>
      <c r="AI980" s="109"/>
      <c r="AJ980" s="109"/>
      <c r="AK980" s="109"/>
      <c r="AL980" s="109"/>
      <c r="AM980" s="109"/>
      <c r="AN980" s="109"/>
      <c r="AO980" s="109"/>
      <c r="AP980" s="109"/>
      <c r="AQ980" s="109"/>
      <c r="AR980" s="109"/>
      <c r="AS980" s="109"/>
      <c r="AT980" s="109"/>
      <c r="AU980" s="109"/>
      <c r="AV980" s="109"/>
      <c r="AW980" s="109"/>
      <c r="AX980" s="109"/>
      <c r="AY980" s="109"/>
      <c r="AZ980" s="109"/>
      <c r="BA980" s="109"/>
      <c r="BB980" s="109"/>
      <c r="BC980" s="109"/>
      <c r="BD980" s="109"/>
      <c r="BE980" s="109"/>
      <c r="BF980" s="109"/>
      <c r="BG980" s="109"/>
      <c r="BH980" s="109"/>
      <c r="BI980" s="109"/>
      <c r="BJ980" s="109"/>
      <c r="BK980" s="109"/>
      <c r="BL980" s="109"/>
      <c r="BM980" s="109"/>
      <c r="BN980" s="109"/>
      <c r="BO980" s="109"/>
      <c r="BP980" s="109"/>
      <c r="BQ980" s="109"/>
      <c r="BR980" s="109"/>
      <c r="BS980" s="109"/>
      <c r="BT980" s="109"/>
      <c r="BU980" s="109"/>
    </row>
    <row r="981" ht="15.75" customHeight="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10"/>
      <c r="X981" s="109"/>
      <c r="Y981" s="109"/>
      <c r="Z981" s="109"/>
      <c r="AA981" s="109"/>
      <c r="AB981" s="109"/>
      <c r="AC981" s="109"/>
      <c r="AD981" s="109"/>
      <c r="AE981" s="109"/>
      <c r="AF981" s="109"/>
      <c r="AG981" s="109"/>
      <c r="AH981" s="109"/>
      <c r="AI981" s="109"/>
      <c r="AJ981" s="109"/>
      <c r="AK981" s="109"/>
      <c r="AL981" s="109"/>
      <c r="AM981" s="109"/>
      <c r="AN981" s="109"/>
      <c r="AO981" s="109"/>
      <c r="AP981" s="109"/>
      <c r="AQ981" s="109"/>
      <c r="AR981" s="109"/>
      <c r="AS981" s="109"/>
      <c r="AT981" s="109"/>
      <c r="AU981" s="109"/>
      <c r="AV981" s="109"/>
      <c r="AW981" s="109"/>
      <c r="AX981" s="109"/>
      <c r="AY981" s="109"/>
      <c r="AZ981" s="109"/>
      <c r="BA981" s="109"/>
      <c r="BB981" s="109"/>
      <c r="BC981" s="109"/>
      <c r="BD981" s="109"/>
      <c r="BE981" s="109"/>
      <c r="BF981" s="109"/>
      <c r="BG981" s="109"/>
      <c r="BH981" s="109"/>
      <c r="BI981" s="109"/>
      <c r="BJ981" s="109"/>
      <c r="BK981" s="109"/>
      <c r="BL981" s="109"/>
      <c r="BM981" s="109"/>
      <c r="BN981" s="109"/>
      <c r="BO981" s="109"/>
      <c r="BP981" s="109"/>
      <c r="BQ981" s="109"/>
      <c r="BR981" s="109"/>
      <c r="BS981" s="109"/>
      <c r="BT981" s="109"/>
      <c r="BU981" s="109"/>
    </row>
    <row r="982" ht="15.75" customHeight="1">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10"/>
      <c r="X982" s="109"/>
      <c r="Y982" s="109"/>
      <c r="Z982" s="109"/>
      <c r="AA982" s="109"/>
      <c r="AB982" s="109"/>
      <c r="AC982" s="109"/>
      <c r="AD982" s="109"/>
      <c r="AE982" s="109"/>
      <c r="AF982" s="109"/>
      <c r="AG982" s="109"/>
      <c r="AH982" s="109"/>
      <c r="AI982" s="109"/>
      <c r="AJ982" s="109"/>
      <c r="AK982" s="109"/>
      <c r="AL982" s="109"/>
      <c r="AM982" s="109"/>
      <c r="AN982" s="109"/>
      <c r="AO982" s="109"/>
      <c r="AP982" s="109"/>
      <c r="AQ982" s="109"/>
      <c r="AR982" s="109"/>
      <c r="AS982" s="109"/>
      <c r="AT982" s="109"/>
      <c r="AU982" s="109"/>
      <c r="AV982" s="109"/>
      <c r="AW982" s="109"/>
      <c r="AX982" s="109"/>
      <c r="AY982" s="109"/>
      <c r="AZ982" s="109"/>
      <c r="BA982" s="109"/>
      <c r="BB982" s="109"/>
      <c r="BC982" s="109"/>
      <c r="BD982" s="109"/>
      <c r="BE982" s="109"/>
      <c r="BF982" s="109"/>
      <c r="BG982" s="109"/>
      <c r="BH982" s="109"/>
      <c r="BI982" s="109"/>
      <c r="BJ982" s="109"/>
      <c r="BK982" s="109"/>
      <c r="BL982" s="109"/>
      <c r="BM982" s="109"/>
      <c r="BN982" s="109"/>
      <c r="BO982" s="109"/>
      <c r="BP982" s="109"/>
      <c r="BQ982" s="109"/>
      <c r="BR982" s="109"/>
      <c r="BS982" s="109"/>
      <c r="BT982" s="109"/>
      <c r="BU982" s="109"/>
    </row>
    <row r="983" ht="15.75" customHeight="1">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10"/>
      <c r="X983" s="109"/>
      <c r="Y983" s="109"/>
      <c r="Z983" s="109"/>
      <c r="AA983" s="109"/>
      <c r="AB983" s="109"/>
      <c r="AC983" s="109"/>
      <c r="AD983" s="109"/>
      <c r="AE983" s="109"/>
      <c r="AF983" s="109"/>
      <c r="AG983" s="109"/>
      <c r="AH983" s="109"/>
      <c r="AI983" s="109"/>
      <c r="AJ983" s="109"/>
      <c r="AK983" s="109"/>
      <c r="AL983" s="109"/>
      <c r="AM983" s="109"/>
      <c r="AN983" s="109"/>
      <c r="AO983" s="109"/>
      <c r="AP983" s="109"/>
      <c r="AQ983" s="109"/>
      <c r="AR983" s="109"/>
      <c r="AS983" s="109"/>
      <c r="AT983" s="109"/>
      <c r="AU983" s="109"/>
      <c r="AV983" s="109"/>
      <c r="AW983" s="109"/>
      <c r="AX983" s="109"/>
      <c r="AY983" s="109"/>
      <c r="AZ983" s="109"/>
      <c r="BA983" s="109"/>
      <c r="BB983" s="109"/>
      <c r="BC983" s="109"/>
      <c r="BD983" s="109"/>
      <c r="BE983" s="109"/>
      <c r="BF983" s="109"/>
      <c r="BG983" s="109"/>
      <c r="BH983" s="109"/>
      <c r="BI983" s="109"/>
      <c r="BJ983" s="109"/>
      <c r="BK983" s="109"/>
      <c r="BL983" s="109"/>
      <c r="BM983" s="109"/>
      <c r="BN983" s="109"/>
      <c r="BO983" s="109"/>
      <c r="BP983" s="109"/>
      <c r="BQ983" s="109"/>
      <c r="BR983" s="109"/>
      <c r="BS983" s="109"/>
      <c r="BT983" s="109"/>
      <c r="BU983" s="109"/>
    </row>
    <row r="984" ht="15.75" customHeight="1">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10"/>
      <c r="X984" s="109"/>
      <c r="Y984" s="109"/>
      <c r="Z984" s="109"/>
      <c r="AA984" s="109"/>
      <c r="AB984" s="109"/>
      <c r="AC984" s="109"/>
      <c r="AD984" s="109"/>
      <c r="AE984" s="109"/>
      <c r="AF984" s="109"/>
      <c r="AG984" s="109"/>
      <c r="AH984" s="109"/>
      <c r="AI984" s="109"/>
      <c r="AJ984" s="109"/>
      <c r="AK984" s="109"/>
      <c r="AL984" s="109"/>
      <c r="AM984" s="109"/>
      <c r="AN984" s="109"/>
      <c r="AO984" s="109"/>
      <c r="AP984" s="109"/>
      <c r="AQ984" s="109"/>
      <c r="AR984" s="109"/>
      <c r="AS984" s="109"/>
      <c r="AT984" s="109"/>
      <c r="AU984" s="109"/>
      <c r="AV984" s="109"/>
      <c r="AW984" s="109"/>
      <c r="AX984" s="109"/>
      <c r="AY984" s="109"/>
      <c r="AZ984" s="109"/>
      <c r="BA984" s="109"/>
      <c r="BB984" s="109"/>
      <c r="BC984" s="109"/>
      <c r="BD984" s="109"/>
      <c r="BE984" s="109"/>
      <c r="BF984" s="109"/>
      <c r="BG984" s="109"/>
      <c r="BH984" s="109"/>
      <c r="BI984" s="109"/>
      <c r="BJ984" s="109"/>
      <c r="BK984" s="109"/>
      <c r="BL984" s="109"/>
      <c r="BM984" s="109"/>
      <c r="BN984" s="109"/>
      <c r="BO984" s="109"/>
      <c r="BP984" s="109"/>
      <c r="BQ984" s="109"/>
      <c r="BR984" s="109"/>
      <c r="BS984" s="109"/>
      <c r="BT984" s="109"/>
      <c r="BU984" s="109"/>
    </row>
    <row r="985" ht="15.75" customHeight="1">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10"/>
      <c r="X985" s="109"/>
      <c r="Y985" s="109"/>
      <c r="Z985" s="109"/>
      <c r="AA985" s="109"/>
      <c r="AB985" s="109"/>
      <c r="AC985" s="109"/>
      <c r="AD985" s="109"/>
      <c r="AE985" s="109"/>
      <c r="AF985" s="109"/>
      <c r="AG985" s="109"/>
      <c r="AH985" s="109"/>
      <c r="AI985" s="109"/>
      <c r="AJ985" s="109"/>
      <c r="AK985" s="109"/>
      <c r="AL985" s="109"/>
      <c r="AM985" s="109"/>
      <c r="AN985" s="109"/>
      <c r="AO985" s="109"/>
      <c r="AP985" s="109"/>
      <c r="AQ985" s="109"/>
      <c r="AR985" s="109"/>
      <c r="AS985" s="109"/>
      <c r="AT985" s="109"/>
      <c r="AU985" s="109"/>
      <c r="AV985" s="109"/>
      <c r="AW985" s="109"/>
      <c r="AX985" s="109"/>
      <c r="AY985" s="109"/>
      <c r="AZ985" s="109"/>
      <c r="BA985" s="109"/>
      <c r="BB985" s="109"/>
      <c r="BC985" s="109"/>
      <c r="BD985" s="109"/>
      <c r="BE985" s="109"/>
      <c r="BF985" s="109"/>
      <c r="BG985" s="109"/>
      <c r="BH985" s="109"/>
      <c r="BI985" s="109"/>
      <c r="BJ985" s="109"/>
      <c r="BK985" s="109"/>
      <c r="BL985" s="109"/>
      <c r="BM985" s="109"/>
      <c r="BN985" s="109"/>
      <c r="BO985" s="109"/>
      <c r="BP985" s="109"/>
      <c r="BQ985" s="109"/>
      <c r="BR985" s="109"/>
      <c r="BS985" s="109"/>
      <c r="BT985" s="109"/>
      <c r="BU985" s="109"/>
    </row>
    <row r="986" ht="15.75" customHeight="1">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10"/>
      <c r="X986" s="109"/>
      <c r="Y986" s="109"/>
      <c r="Z986" s="109"/>
      <c r="AA986" s="109"/>
      <c r="AB986" s="109"/>
      <c r="AC986" s="109"/>
      <c r="AD986" s="109"/>
      <c r="AE986" s="109"/>
      <c r="AF986" s="109"/>
      <c r="AG986" s="109"/>
      <c r="AH986" s="109"/>
      <c r="AI986" s="109"/>
      <c r="AJ986" s="109"/>
      <c r="AK986" s="109"/>
      <c r="AL986" s="109"/>
      <c r="AM986" s="109"/>
      <c r="AN986" s="109"/>
      <c r="AO986" s="109"/>
      <c r="AP986" s="109"/>
      <c r="AQ986" s="109"/>
      <c r="AR986" s="109"/>
      <c r="AS986" s="109"/>
      <c r="AT986" s="109"/>
      <c r="AU986" s="109"/>
      <c r="AV986" s="109"/>
      <c r="AW986" s="109"/>
      <c r="AX986" s="109"/>
      <c r="AY986" s="109"/>
      <c r="AZ986" s="109"/>
      <c r="BA986" s="109"/>
      <c r="BB986" s="109"/>
      <c r="BC986" s="109"/>
      <c r="BD986" s="109"/>
      <c r="BE986" s="109"/>
      <c r="BF986" s="109"/>
      <c r="BG986" s="109"/>
      <c r="BH986" s="109"/>
      <c r="BI986" s="109"/>
      <c r="BJ986" s="109"/>
      <c r="BK986" s="109"/>
      <c r="BL986" s="109"/>
      <c r="BM986" s="109"/>
      <c r="BN986" s="109"/>
      <c r="BO986" s="109"/>
      <c r="BP986" s="109"/>
      <c r="BQ986" s="109"/>
      <c r="BR986" s="109"/>
      <c r="BS986" s="109"/>
      <c r="BT986" s="109"/>
      <c r="BU986" s="109"/>
    </row>
    <row r="987" ht="15.75" customHeight="1">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10"/>
      <c r="X987" s="109"/>
      <c r="Y987" s="109"/>
      <c r="Z987" s="109"/>
      <c r="AA987" s="109"/>
      <c r="AB987" s="109"/>
      <c r="AC987" s="109"/>
      <c r="AD987" s="109"/>
      <c r="AE987" s="109"/>
      <c r="AF987" s="109"/>
      <c r="AG987" s="109"/>
      <c r="AH987" s="109"/>
      <c r="AI987" s="109"/>
      <c r="AJ987" s="109"/>
      <c r="AK987" s="109"/>
      <c r="AL987" s="109"/>
      <c r="AM987" s="109"/>
      <c r="AN987" s="109"/>
      <c r="AO987" s="109"/>
      <c r="AP987" s="109"/>
      <c r="AQ987" s="109"/>
      <c r="AR987" s="109"/>
      <c r="AS987" s="109"/>
      <c r="AT987" s="109"/>
      <c r="AU987" s="109"/>
      <c r="AV987" s="109"/>
      <c r="AW987" s="109"/>
      <c r="AX987" s="109"/>
      <c r="AY987" s="109"/>
      <c r="AZ987" s="109"/>
      <c r="BA987" s="109"/>
      <c r="BB987" s="109"/>
      <c r="BC987" s="109"/>
      <c r="BD987" s="109"/>
      <c r="BE987" s="109"/>
      <c r="BF987" s="109"/>
      <c r="BG987" s="109"/>
      <c r="BH987" s="109"/>
      <c r="BI987" s="109"/>
      <c r="BJ987" s="109"/>
      <c r="BK987" s="109"/>
      <c r="BL987" s="109"/>
      <c r="BM987" s="109"/>
      <c r="BN987" s="109"/>
      <c r="BO987" s="109"/>
      <c r="BP987" s="109"/>
      <c r="BQ987" s="109"/>
      <c r="BR987" s="109"/>
      <c r="BS987" s="109"/>
      <c r="BT987" s="109"/>
      <c r="BU987" s="109"/>
    </row>
    <row r="988" ht="15.75" customHeight="1">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10"/>
      <c r="X988" s="109"/>
      <c r="Y988" s="109"/>
      <c r="Z988" s="109"/>
      <c r="AA988" s="109"/>
      <c r="AB988" s="109"/>
      <c r="AC988" s="109"/>
      <c r="AD988" s="109"/>
      <c r="AE988" s="109"/>
      <c r="AF988" s="109"/>
      <c r="AG988" s="109"/>
      <c r="AH988" s="109"/>
      <c r="AI988" s="109"/>
      <c r="AJ988" s="109"/>
      <c r="AK988" s="109"/>
      <c r="AL988" s="109"/>
      <c r="AM988" s="109"/>
      <c r="AN988" s="109"/>
      <c r="AO988" s="109"/>
      <c r="AP988" s="109"/>
      <c r="AQ988" s="109"/>
      <c r="AR988" s="109"/>
      <c r="AS988" s="109"/>
      <c r="AT988" s="109"/>
      <c r="AU988" s="109"/>
      <c r="AV988" s="109"/>
      <c r="AW988" s="109"/>
      <c r="AX988" s="109"/>
      <c r="AY988" s="109"/>
      <c r="AZ988" s="109"/>
      <c r="BA988" s="109"/>
      <c r="BB988" s="109"/>
      <c r="BC988" s="109"/>
      <c r="BD988" s="109"/>
      <c r="BE988" s="109"/>
      <c r="BF988" s="109"/>
      <c r="BG988" s="109"/>
      <c r="BH988" s="109"/>
      <c r="BI988" s="109"/>
      <c r="BJ988" s="109"/>
      <c r="BK988" s="109"/>
      <c r="BL988" s="109"/>
      <c r="BM988" s="109"/>
      <c r="BN988" s="109"/>
      <c r="BO988" s="109"/>
      <c r="BP988" s="109"/>
      <c r="BQ988" s="109"/>
      <c r="BR988" s="109"/>
      <c r="BS988" s="109"/>
      <c r="BT988" s="109"/>
      <c r="BU988" s="109"/>
    </row>
    <row r="989" ht="15.75" customHeight="1">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10"/>
      <c r="X989" s="109"/>
      <c r="Y989" s="109"/>
      <c r="Z989" s="109"/>
      <c r="AA989" s="109"/>
      <c r="AB989" s="109"/>
      <c r="AC989" s="109"/>
      <c r="AD989" s="109"/>
      <c r="AE989" s="109"/>
      <c r="AF989" s="109"/>
      <c r="AG989" s="109"/>
      <c r="AH989" s="109"/>
      <c r="AI989" s="109"/>
      <c r="AJ989" s="109"/>
      <c r="AK989" s="109"/>
      <c r="AL989" s="109"/>
      <c r="AM989" s="109"/>
      <c r="AN989" s="109"/>
      <c r="AO989" s="109"/>
      <c r="AP989" s="109"/>
      <c r="AQ989" s="109"/>
      <c r="AR989" s="109"/>
      <c r="AS989" s="109"/>
      <c r="AT989" s="109"/>
      <c r="AU989" s="109"/>
      <c r="AV989" s="109"/>
      <c r="AW989" s="109"/>
      <c r="AX989" s="109"/>
      <c r="AY989" s="109"/>
      <c r="AZ989" s="109"/>
      <c r="BA989" s="109"/>
      <c r="BB989" s="109"/>
      <c r="BC989" s="109"/>
      <c r="BD989" s="109"/>
      <c r="BE989" s="109"/>
      <c r="BF989" s="109"/>
      <c r="BG989" s="109"/>
      <c r="BH989" s="109"/>
      <c r="BI989" s="109"/>
      <c r="BJ989" s="109"/>
      <c r="BK989" s="109"/>
      <c r="BL989" s="109"/>
      <c r="BM989" s="109"/>
      <c r="BN989" s="109"/>
      <c r="BO989" s="109"/>
      <c r="BP989" s="109"/>
      <c r="BQ989" s="109"/>
      <c r="BR989" s="109"/>
      <c r="BS989" s="109"/>
      <c r="BT989" s="109"/>
      <c r="BU989" s="109"/>
    </row>
    <row r="990" ht="15.75" customHeight="1">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10"/>
      <c r="X990" s="109"/>
      <c r="Y990" s="109"/>
      <c r="Z990" s="109"/>
      <c r="AA990" s="109"/>
      <c r="AB990" s="109"/>
      <c r="AC990" s="109"/>
      <c r="AD990" s="109"/>
      <c r="AE990" s="109"/>
      <c r="AF990" s="109"/>
      <c r="AG990" s="109"/>
      <c r="AH990" s="109"/>
      <c r="AI990" s="109"/>
      <c r="AJ990" s="109"/>
      <c r="AK990" s="109"/>
      <c r="AL990" s="109"/>
      <c r="AM990" s="109"/>
      <c r="AN990" s="109"/>
      <c r="AO990" s="109"/>
      <c r="AP990" s="109"/>
      <c r="AQ990" s="109"/>
      <c r="AR990" s="109"/>
      <c r="AS990" s="109"/>
      <c r="AT990" s="109"/>
      <c r="AU990" s="109"/>
      <c r="AV990" s="109"/>
      <c r="AW990" s="109"/>
      <c r="AX990" s="109"/>
      <c r="AY990" s="109"/>
      <c r="AZ990" s="109"/>
      <c r="BA990" s="109"/>
      <c r="BB990" s="109"/>
      <c r="BC990" s="109"/>
      <c r="BD990" s="109"/>
      <c r="BE990" s="109"/>
      <c r="BF990" s="109"/>
      <c r="BG990" s="109"/>
      <c r="BH990" s="109"/>
      <c r="BI990" s="109"/>
      <c r="BJ990" s="109"/>
      <c r="BK990" s="109"/>
      <c r="BL990" s="109"/>
      <c r="BM990" s="109"/>
      <c r="BN990" s="109"/>
      <c r="BO990" s="109"/>
      <c r="BP990" s="109"/>
      <c r="BQ990" s="109"/>
      <c r="BR990" s="109"/>
      <c r="BS990" s="109"/>
      <c r="BT990" s="109"/>
      <c r="BU990" s="109"/>
    </row>
    <row r="991" ht="15.75" customHeight="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10"/>
      <c r="X991" s="109"/>
      <c r="Y991" s="109"/>
      <c r="Z991" s="109"/>
      <c r="AA991" s="109"/>
      <c r="AB991" s="109"/>
      <c r="AC991" s="109"/>
      <c r="AD991" s="109"/>
      <c r="AE991" s="109"/>
      <c r="AF991" s="109"/>
      <c r="AG991" s="109"/>
      <c r="AH991" s="109"/>
      <c r="AI991" s="109"/>
      <c r="AJ991" s="109"/>
      <c r="AK991" s="109"/>
      <c r="AL991" s="109"/>
      <c r="AM991" s="109"/>
      <c r="AN991" s="109"/>
      <c r="AO991" s="109"/>
      <c r="AP991" s="109"/>
      <c r="AQ991" s="109"/>
      <c r="AR991" s="109"/>
      <c r="AS991" s="109"/>
      <c r="AT991" s="109"/>
      <c r="AU991" s="109"/>
      <c r="AV991" s="109"/>
      <c r="AW991" s="109"/>
      <c r="AX991" s="109"/>
      <c r="AY991" s="109"/>
      <c r="AZ991" s="109"/>
      <c r="BA991" s="109"/>
      <c r="BB991" s="109"/>
      <c r="BC991" s="109"/>
      <c r="BD991" s="109"/>
      <c r="BE991" s="109"/>
      <c r="BF991" s="109"/>
      <c r="BG991" s="109"/>
      <c r="BH991" s="109"/>
      <c r="BI991" s="109"/>
      <c r="BJ991" s="109"/>
      <c r="BK991" s="109"/>
      <c r="BL991" s="109"/>
      <c r="BM991" s="109"/>
      <c r="BN991" s="109"/>
      <c r="BO991" s="109"/>
      <c r="BP991" s="109"/>
      <c r="BQ991" s="109"/>
      <c r="BR991" s="109"/>
      <c r="BS991" s="109"/>
      <c r="BT991" s="109"/>
      <c r="BU991" s="109"/>
    </row>
    <row r="992" ht="15.75" customHeight="1">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10"/>
      <c r="X992" s="109"/>
      <c r="Y992" s="109"/>
      <c r="Z992" s="109"/>
      <c r="AA992" s="109"/>
      <c r="AB992" s="109"/>
      <c r="AC992" s="109"/>
      <c r="AD992" s="109"/>
      <c r="AE992" s="109"/>
      <c r="AF992" s="109"/>
      <c r="AG992" s="109"/>
      <c r="AH992" s="109"/>
      <c r="AI992" s="109"/>
      <c r="AJ992" s="109"/>
      <c r="AK992" s="109"/>
      <c r="AL992" s="109"/>
      <c r="AM992" s="109"/>
      <c r="AN992" s="109"/>
      <c r="AO992" s="109"/>
      <c r="AP992" s="109"/>
      <c r="AQ992" s="109"/>
      <c r="AR992" s="109"/>
      <c r="AS992" s="109"/>
      <c r="AT992" s="109"/>
      <c r="AU992" s="109"/>
      <c r="AV992" s="109"/>
      <c r="AW992" s="109"/>
      <c r="AX992" s="109"/>
      <c r="AY992" s="109"/>
      <c r="AZ992" s="109"/>
      <c r="BA992" s="109"/>
      <c r="BB992" s="109"/>
      <c r="BC992" s="109"/>
      <c r="BD992" s="109"/>
      <c r="BE992" s="109"/>
      <c r="BF992" s="109"/>
      <c r="BG992" s="109"/>
      <c r="BH992" s="109"/>
      <c r="BI992" s="109"/>
      <c r="BJ992" s="109"/>
      <c r="BK992" s="109"/>
      <c r="BL992" s="109"/>
      <c r="BM992" s="109"/>
      <c r="BN992" s="109"/>
      <c r="BO992" s="109"/>
      <c r="BP992" s="109"/>
      <c r="BQ992" s="109"/>
      <c r="BR992" s="109"/>
      <c r="BS992" s="109"/>
      <c r="BT992" s="109"/>
      <c r="BU992" s="109"/>
    </row>
  </sheetData>
  <autoFilter ref="$A$2:$BU$34"/>
  <mergeCells count="11">
    <mergeCell ref="A19:BU19"/>
    <mergeCell ref="A23:BU23"/>
    <mergeCell ref="A27:BU27"/>
    <mergeCell ref="A32:BU32"/>
    <mergeCell ref="B1:K1"/>
    <mergeCell ref="L1:R1"/>
    <mergeCell ref="S1:AF1"/>
    <mergeCell ref="AG1:AT1"/>
    <mergeCell ref="AU1:BQ1"/>
    <mergeCell ref="BR1:BT1"/>
    <mergeCell ref="A3:BU3"/>
  </mergeCells>
  <dataValidations>
    <dataValidation type="list" allowBlank="1" sqref="AU4:AV18 AU20:AV22 AU24:AV26 AU28:AV29 AU33:AV34">
      <formula1>"Consultation,Programme,Treatment,Membership,Residential"</formula1>
    </dataValidation>
    <dataValidation type="list" allowBlank="1" sqref="C4:C18 C20:C22 C24:C26 C28:C29 C33:C34">
      <formula1>"A — Mothership,B — Urban Hub,C — Embedded / Partner,Local — Standalone"</formula1>
    </dataValidation>
    <dataValidation type="list" allowBlank="1" sqref="G4:G18 G20:G22 G24:G26 G28:G29 G33:G34">
      <formula1>"UHNW,HNW,Affluent Wellness,Medical Tourism,High Performance / Biohacker,Corporate Wellness,Mixed"</formula1>
    </dataValidation>
    <dataValidation type="list" allowBlank="1" sqref="F4:F18 F20:F22 F24:F26 F28:F29 F33:F34">
      <formula1>"Medical Longevity,Detox Clinic,Integrative Healing,Luxury Wellness Retreat,Performance / Biohacker,Hybrid"</formula1>
    </dataValidation>
    <dataValidation type="list" allowBlank="1" sqref="AR4:AR18 AR20:AR22 AR24:AR26 AR28:AR29 AR33:AR34">
      <formula1>"Purpose-built clinic,Retrofitted resort,Mixed-use integration,Hotel-embedded wellness,Urban standalone"</formula1>
    </dataValidation>
    <dataValidation type="list" allowBlank="1" sqref="AJ4:AJ18 AJ20:AJ22 AJ24:AJ26 AJ28:AJ29 AJ33:AJ34">
      <formula1>"Dedicated Restaurant(s),Integrated"</formula1>
    </dataValidation>
    <dataValidation type="list" allowBlank="1" sqref="D4:D18 D20:D22 D24:D26 D28:D29 D33:D34">
      <formula1>"Established,New / Opening Soon,Pipeline,Closed / Inactive"</formula1>
    </dataValidation>
    <dataValidation type="list" allowBlank="1" sqref="AL4:AL18 AL20:AL22 AL24:AL26 AL28:AL29 AL33:AL34">
      <formula1>"Own licence,Partner hospital,Light-touch medical,None,Unknown"</formula1>
    </dataValidation>
    <dataValidation type="list" allowBlank="1" sqref="L4:L18 L20:L22 L24:L26 L28:L29 L33:L34">
      <formula1>"Corporate,Family / Multi-Gen,High Performance,Individual Wellness,Medical Recovery,UHNW,HNW"</formula1>
    </dataValidation>
    <dataValidation type="list" allowBlank="1" sqref="AG4:AG18 AG20:AG22 AG24:AG26 AG28:AG29 AG33:AG34">
      <formula1>"Programme-led,Room-led,Membership-led,Treatment-led,Residences"</formula1>
    </dataValidation>
  </dataValidations>
  <hyperlinks>
    <hyperlink r:id="rId2" ref="A1"/>
  </hyperlinks>
  <printOptions/>
  <pageMargins bottom="1.0" footer="0.0" header="0.0" left="0.75" right="0.75" top="1.0"/>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171.57"/>
    <col customWidth="1" min="3" max="6" width="14.43"/>
  </cols>
  <sheetData>
    <row r="1" ht="15.0" customHeight="1">
      <c r="A1" s="111" t="s">
        <v>553</v>
      </c>
      <c r="B1" s="112"/>
      <c r="C1" s="111"/>
    </row>
    <row r="2" ht="15.0" customHeight="1">
      <c r="A2" s="111" t="s">
        <v>554</v>
      </c>
      <c r="B2" s="112" t="s">
        <v>555</v>
      </c>
      <c r="C2" s="111" t="s">
        <v>556</v>
      </c>
    </row>
    <row r="3" ht="15.0" customHeight="1">
      <c r="B3" s="113"/>
    </row>
    <row r="4" ht="15.0" customHeight="1">
      <c r="B4" s="113"/>
    </row>
    <row r="5" ht="15.0" customHeight="1">
      <c r="B5" s="113"/>
    </row>
    <row r="6" ht="15.0" customHeight="1">
      <c r="B6" s="113"/>
    </row>
    <row r="7" ht="15.0" customHeight="1">
      <c r="B7" s="113"/>
    </row>
    <row r="8" ht="15.0" customHeight="1">
      <c r="B8" s="113"/>
    </row>
    <row r="9" ht="15.0" customHeight="1">
      <c r="B9" s="113"/>
    </row>
    <row r="10" ht="15.0" customHeight="1">
      <c r="B10" s="113"/>
    </row>
    <row r="11" ht="15.0" customHeight="1">
      <c r="B11" s="113"/>
    </row>
    <row r="12" ht="15.0" customHeight="1">
      <c r="B12" s="113"/>
    </row>
    <row r="13" ht="15.0" customHeight="1">
      <c r="B13" s="113"/>
    </row>
    <row r="14" ht="15.0" customHeight="1">
      <c r="B14" s="113"/>
    </row>
    <row r="15" ht="15.0" customHeight="1">
      <c r="B15" s="113"/>
    </row>
    <row r="16" ht="15.0" customHeight="1">
      <c r="B16" s="113"/>
    </row>
    <row r="17" ht="15.0" customHeight="1">
      <c r="B17" s="113"/>
    </row>
    <row r="18" ht="15.0" customHeight="1">
      <c r="B18" s="113"/>
    </row>
    <row r="19" ht="15.0" customHeight="1">
      <c r="B19" s="113"/>
    </row>
    <row r="20" ht="15.0" customHeight="1">
      <c r="B20" s="113"/>
    </row>
    <row r="21" ht="15.0" customHeight="1">
      <c r="B21" s="113"/>
    </row>
    <row r="22" ht="15.0" customHeight="1">
      <c r="B22" s="113"/>
    </row>
    <row r="23" ht="15.0" customHeight="1">
      <c r="B23" s="113"/>
    </row>
    <row r="24" ht="15.0" customHeight="1">
      <c r="B24" s="113"/>
    </row>
    <row r="25" ht="15.0" customHeight="1">
      <c r="B25" s="113"/>
    </row>
    <row r="26" ht="15.0" customHeight="1">
      <c r="B26" s="113"/>
    </row>
    <row r="27" ht="15.0" customHeight="1">
      <c r="B27" s="113"/>
    </row>
    <row r="28" ht="15.0" customHeight="1">
      <c r="B28" s="113"/>
    </row>
    <row r="29" ht="15.0" customHeight="1">
      <c r="B29" s="113"/>
    </row>
    <row r="30" ht="15.0" customHeight="1">
      <c r="B30" s="113"/>
    </row>
    <row r="31" ht="15.0" customHeight="1">
      <c r="B31" s="113"/>
    </row>
    <row r="32" ht="15.0" customHeight="1">
      <c r="B32" s="113"/>
    </row>
    <row r="33" ht="15.0" customHeight="1">
      <c r="B33" s="113"/>
    </row>
    <row r="34" ht="15.0" customHeight="1">
      <c r="B34" s="113"/>
    </row>
    <row r="35" ht="15.0" customHeight="1">
      <c r="B35" s="113"/>
    </row>
    <row r="36" ht="15.0" customHeight="1">
      <c r="B36" s="113"/>
    </row>
    <row r="37" ht="15.0" customHeight="1">
      <c r="B37" s="113"/>
    </row>
    <row r="38" ht="15.0" customHeight="1">
      <c r="B38" s="113"/>
    </row>
    <row r="39" ht="15.0" customHeight="1">
      <c r="B39" s="113"/>
    </row>
    <row r="40" ht="15.0" customHeight="1">
      <c r="B40" s="113"/>
    </row>
    <row r="41" ht="15.0" customHeight="1">
      <c r="B41" s="113"/>
    </row>
    <row r="42" ht="15.0" customHeight="1">
      <c r="B42" s="113"/>
    </row>
    <row r="43" ht="15.0" customHeight="1">
      <c r="B43" s="113"/>
    </row>
    <row r="44" ht="15.0" customHeight="1">
      <c r="B44" s="113"/>
    </row>
    <row r="45" ht="15.0" customHeight="1">
      <c r="B45" s="113"/>
    </row>
    <row r="46" ht="15.0" customHeight="1">
      <c r="B46" s="113"/>
    </row>
    <row r="47" ht="15.0" customHeight="1">
      <c r="B47" s="113"/>
    </row>
    <row r="48" ht="15.0" customHeight="1">
      <c r="B48" s="113"/>
    </row>
    <row r="49" ht="15.0" customHeight="1">
      <c r="B49" s="113"/>
    </row>
    <row r="50" ht="15.0" customHeight="1">
      <c r="B50" s="113"/>
    </row>
    <row r="51" ht="15.0" customHeight="1">
      <c r="B51" s="113"/>
    </row>
    <row r="52" ht="15.0" customHeight="1">
      <c r="B52" s="113"/>
    </row>
    <row r="53" ht="15.0" customHeight="1">
      <c r="B53" s="113"/>
    </row>
    <row r="54" ht="15.0" customHeight="1">
      <c r="B54" s="113"/>
    </row>
    <row r="55" ht="15.0" customHeight="1">
      <c r="B55" s="113"/>
    </row>
    <row r="56" ht="15.0" customHeight="1">
      <c r="B56" s="113"/>
    </row>
    <row r="57" ht="15.0" customHeight="1">
      <c r="B57" s="113"/>
    </row>
    <row r="58" ht="15.0" customHeight="1">
      <c r="B58" s="113"/>
    </row>
    <row r="59" ht="15.0" customHeight="1">
      <c r="B59" s="113"/>
    </row>
    <row r="60" ht="15.0" customHeight="1">
      <c r="B60" s="113"/>
    </row>
    <row r="61" ht="15.0" customHeight="1">
      <c r="B61" s="113"/>
    </row>
    <row r="62" ht="15.0" customHeight="1">
      <c r="B62" s="113"/>
    </row>
    <row r="63" ht="15.0" customHeight="1">
      <c r="B63" s="113"/>
    </row>
    <row r="64" ht="15.0" customHeight="1">
      <c r="B64" s="113"/>
    </row>
    <row r="65" ht="15.0" customHeight="1">
      <c r="B65" s="113"/>
    </row>
    <row r="66" ht="15.0" customHeight="1">
      <c r="B66" s="113"/>
    </row>
    <row r="67" ht="15.0" customHeight="1">
      <c r="B67" s="113"/>
    </row>
    <row r="68" ht="15.0" customHeight="1">
      <c r="B68" s="113"/>
    </row>
    <row r="69" ht="15.0" customHeight="1">
      <c r="B69" s="113"/>
    </row>
    <row r="70" ht="15.0" customHeight="1">
      <c r="B70" s="113"/>
    </row>
    <row r="71" ht="15.0" customHeight="1">
      <c r="B71" s="113"/>
    </row>
    <row r="72" ht="15.0" customHeight="1">
      <c r="B72" s="113"/>
    </row>
    <row r="73" ht="15.0" customHeight="1">
      <c r="B73" s="113"/>
    </row>
    <row r="74" ht="15.0" customHeight="1">
      <c r="B74" s="113"/>
    </row>
    <row r="75" ht="15.0" customHeight="1">
      <c r="B75" s="113"/>
    </row>
    <row r="76" ht="15.0" customHeight="1">
      <c r="B76" s="113"/>
    </row>
    <row r="77" ht="15.0" customHeight="1">
      <c r="B77" s="113"/>
    </row>
    <row r="78" ht="15.0" customHeight="1">
      <c r="B78" s="113"/>
    </row>
    <row r="79" ht="15.0" customHeight="1">
      <c r="B79" s="113"/>
    </row>
    <row r="80" ht="15.0" customHeight="1">
      <c r="B80" s="113"/>
    </row>
    <row r="81" ht="15.0" customHeight="1">
      <c r="B81" s="113"/>
    </row>
    <row r="82" ht="15.0" customHeight="1">
      <c r="B82" s="113"/>
    </row>
    <row r="83" ht="15.0" customHeight="1">
      <c r="B83" s="113"/>
    </row>
    <row r="84" ht="15.0" customHeight="1">
      <c r="B84" s="113"/>
    </row>
    <row r="85" ht="15.0" customHeight="1">
      <c r="B85" s="113"/>
    </row>
    <row r="86" ht="15.0" customHeight="1">
      <c r="B86" s="113"/>
    </row>
    <row r="87" ht="15.0" customHeight="1">
      <c r="B87" s="113"/>
    </row>
    <row r="88" ht="15.0" customHeight="1">
      <c r="B88" s="113"/>
    </row>
    <row r="89" ht="15.0" customHeight="1">
      <c r="B89" s="113"/>
    </row>
    <row r="90" ht="15.0" customHeight="1">
      <c r="B90" s="113"/>
    </row>
    <row r="91" ht="15.0" customHeight="1">
      <c r="B91" s="113"/>
    </row>
    <row r="92" ht="15.0" customHeight="1">
      <c r="B92" s="113"/>
    </row>
    <row r="93" ht="15.0" customHeight="1">
      <c r="B93" s="113"/>
    </row>
    <row r="94" ht="15.0" customHeight="1">
      <c r="B94" s="113"/>
    </row>
    <row r="95" ht="15.0" customHeight="1">
      <c r="B95" s="113"/>
    </row>
    <row r="96" ht="15.0" customHeight="1">
      <c r="B96" s="113"/>
    </row>
    <row r="97" ht="15.0" customHeight="1">
      <c r="B97" s="113"/>
    </row>
    <row r="98" ht="15.0" customHeight="1">
      <c r="B98" s="113"/>
    </row>
    <row r="99" ht="15.0" customHeight="1">
      <c r="B99" s="113"/>
    </row>
    <row r="100" ht="15.0" customHeight="1">
      <c r="B100" s="113"/>
    </row>
    <row r="101" ht="15.75" customHeight="1">
      <c r="B101" s="114"/>
    </row>
    <row r="102" ht="15.75" customHeight="1">
      <c r="B102" s="114"/>
    </row>
    <row r="103" ht="15.75" customHeight="1">
      <c r="B103" s="114"/>
    </row>
    <row r="104" ht="15.75" customHeight="1">
      <c r="B104" s="114"/>
    </row>
    <row r="105" ht="15.75" customHeight="1">
      <c r="B105" s="114"/>
    </row>
    <row r="106" ht="15.75" customHeight="1">
      <c r="B106" s="114"/>
    </row>
    <row r="107" ht="15.75" customHeight="1">
      <c r="B107" s="114"/>
    </row>
    <row r="108" ht="15.75" customHeight="1">
      <c r="B108" s="114"/>
    </row>
    <row r="109" ht="15.75" customHeight="1">
      <c r="B109" s="114"/>
    </row>
    <row r="110" ht="15.75" customHeight="1">
      <c r="B110" s="114"/>
    </row>
    <row r="111" ht="15.75" customHeight="1">
      <c r="B111" s="114"/>
    </row>
    <row r="112" ht="15.75" customHeight="1">
      <c r="B112" s="114"/>
    </row>
    <row r="113" ht="15.75" customHeight="1">
      <c r="B113" s="114"/>
    </row>
    <row r="114" ht="15.75" customHeight="1">
      <c r="B114" s="114"/>
    </row>
    <row r="115" ht="15.75" customHeight="1">
      <c r="B115" s="114"/>
    </row>
    <row r="116" ht="15.75" customHeight="1">
      <c r="B116" s="114"/>
    </row>
    <row r="117" ht="15.75" customHeight="1">
      <c r="B117" s="114"/>
    </row>
    <row r="118" ht="15.75" customHeight="1">
      <c r="B118" s="114"/>
    </row>
    <row r="119" ht="15.75" customHeight="1">
      <c r="B119" s="114"/>
    </row>
    <row r="120" ht="15.75" customHeight="1">
      <c r="B120" s="114"/>
    </row>
    <row r="121" ht="15.75" customHeight="1">
      <c r="B121" s="114"/>
    </row>
    <row r="122" ht="15.75" customHeight="1">
      <c r="B122" s="114"/>
    </row>
    <row r="123" ht="15.75" customHeight="1">
      <c r="B123" s="114"/>
    </row>
    <row r="124" ht="15.75" customHeight="1">
      <c r="B124" s="114"/>
    </row>
    <row r="125" ht="15.75" customHeight="1">
      <c r="B125" s="114"/>
    </row>
    <row r="126" ht="15.75" customHeight="1">
      <c r="B126" s="114"/>
    </row>
    <row r="127" ht="15.75" customHeight="1">
      <c r="B127" s="114"/>
    </row>
    <row r="128" ht="15.75" customHeight="1">
      <c r="B128" s="114"/>
    </row>
    <row r="129" ht="15.75" customHeight="1">
      <c r="B129" s="114"/>
    </row>
    <row r="130" ht="15.75" customHeight="1">
      <c r="B130" s="114"/>
    </row>
    <row r="131" ht="15.75" customHeight="1">
      <c r="B131" s="114"/>
    </row>
    <row r="132" ht="15.75" customHeight="1">
      <c r="B132" s="114"/>
    </row>
    <row r="133" ht="15.75" customHeight="1">
      <c r="B133" s="114"/>
    </row>
    <row r="134" ht="15.75" customHeight="1">
      <c r="B134" s="114"/>
    </row>
    <row r="135" ht="15.75" customHeight="1">
      <c r="B135" s="114"/>
    </row>
    <row r="136" ht="15.75" customHeight="1">
      <c r="B136" s="114"/>
    </row>
    <row r="137" ht="15.75" customHeight="1">
      <c r="B137" s="114"/>
    </row>
    <row r="138" ht="15.75" customHeight="1">
      <c r="B138" s="114"/>
    </row>
    <row r="139" ht="15.75" customHeight="1">
      <c r="B139" s="114"/>
    </row>
    <row r="140" ht="15.75" customHeight="1">
      <c r="B140" s="114"/>
    </row>
    <row r="141" ht="15.75" customHeight="1">
      <c r="B141" s="114"/>
    </row>
    <row r="142" ht="15.75" customHeight="1">
      <c r="B142" s="114"/>
    </row>
    <row r="143" ht="15.75" customHeight="1">
      <c r="B143" s="114"/>
    </row>
    <row r="144" ht="15.75" customHeight="1">
      <c r="B144" s="114"/>
    </row>
    <row r="145" ht="15.75" customHeight="1">
      <c r="B145" s="114"/>
    </row>
    <row r="146" ht="15.75" customHeight="1">
      <c r="B146" s="114"/>
    </row>
    <row r="147" ht="15.75" customHeight="1">
      <c r="B147" s="114"/>
    </row>
    <row r="148" ht="15.75" customHeight="1">
      <c r="B148" s="114"/>
    </row>
    <row r="149" ht="15.75" customHeight="1">
      <c r="B149" s="114"/>
    </row>
    <row r="150" ht="15.75" customHeight="1">
      <c r="B150" s="114"/>
    </row>
    <row r="151" ht="15.75" customHeight="1">
      <c r="B151" s="114"/>
    </row>
    <row r="152" ht="15.75" customHeight="1">
      <c r="B152" s="114"/>
    </row>
    <row r="153" ht="15.75" customHeight="1">
      <c r="B153" s="114"/>
    </row>
    <row r="154" ht="15.75" customHeight="1">
      <c r="B154" s="114"/>
    </row>
    <row r="155" ht="15.75" customHeight="1">
      <c r="B155" s="114"/>
    </row>
    <row r="156" ht="15.75" customHeight="1">
      <c r="B156" s="114"/>
    </row>
    <row r="157" ht="15.75" customHeight="1">
      <c r="B157" s="114"/>
    </row>
    <row r="158" ht="15.75" customHeight="1">
      <c r="B158" s="114"/>
    </row>
    <row r="159" ht="15.75" customHeight="1">
      <c r="B159" s="114"/>
    </row>
    <row r="160" ht="15.75" customHeight="1">
      <c r="B160" s="114"/>
    </row>
    <row r="161" ht="15.75" customHeight="1">
      <c r="B161" s="114"/>
    </row>
    <row r="162" ht="15.75" customHeight="1">
      <c r="B162" s="114"/>
    </row>
    <row r="163" ht="15.75" customHeight="1">
      <c r="B163" s="114"/>
    </row>
    <row r="164" ht="15.75" customHeight="1">
      <c r="B164" s="114"/>
    </row>
    <row r="165" ht="15.75" customHeight="1">
      <c r="B165" s="114"/>
    </row>
    <row r="166" ht="15.75" customHeight="1">
      <c r="B166" s="114"/>
    </row>
    <row r="167" ht="15.75" customHeight="1">
      <c r="B167" s="114"/>
    </row>
    <row r="168" ht="15.75" customHeight="1">
      <c r="B168" s="114"/>
    </row>
    <row r="169" ht="15.75" customHeight="1">
      <c r="B169" s="114"/>
    </row>
    <row r="170" ht="15.75" customHeight="1">
      <c r="B170" s="114"/>
    </row>
    <row r="171" ht="15.75" customHeight="1">
      <c r="B171" s="114"/>
    </row>
    <row r="172" ht="15.75" customHeight="1">
      <c r="B172" s="114"/>
    </row>
    <row r="173" ht="15.75" customHeight="1">
      <c r="B173" s="114"/>
    </row>
    <row r="174" ht="15.75" customHeight="1">
      <c r="B174" s="114"/>
    </row>
    <row r="175" ht="15.75" customHeight="1">
      <c r="B175" s="114"/>
    </row>
    <row r="176" ht="15.75" customHeight="1">
      <c r="B176" s="114"/>
    </row>
    <row r="177" ht="15.75" customHeight="1">
      <c r="B177" s="114"/>
    </row>
    <row r="178" ht="15.75" customHeight="1">
      <c r="B178" s="114"/>
    </row>
    <row r="179" ht="15.75" customHeight="1">
      <c r="B179" s="114"/>
    </row>
    <row r="180" ht="15.75" customHeight="1">
      <c r="B180" s="114"/>
    </row>
    <row r="181" ht="15.75" customHeight="1">
      <c r="B181" s="114"/>
    </row>
    <row r="182" ht="15.75" customHeight="1">
      <c r="B182" s="114"/>
    </row>
    <row r="183" ht="15.75" customHeight="1">
      <c r="B183" s="114"/>
    </row>
    <row r="184" ht="15.75" customHeight="1">
      <c r="B184" s="114"/>
    </row>
    <row r="185" ht="15.75" customHeight="1">
      <c r="B185" s="114"/>
    </row>
    <row r="186" ht="15.75" customHeight="1">
      <c r="B186" s="114"/>
    </row>
    <row r="187" ht="15.75" customHeight="1">
      <c r="B187" s="114"/>
    </row>
    <row r="188" ht="15.75" customHeight="1">
      <c r="B188" s="114"/>
    </row>
    <row r="189" ht="15.75" customHeight="1">
      <c r="B189" s="114"/>
    </row>
    <row r="190" ht="15.75" customHeight="1">
      <c r="B190" s="114"/>
    </row>
    <row r="191" ht="15.75" customHeight="1">
      <c r="B191" s="114"/>
    </row>
    <row r="192" ht="15.75" customHeight="1">
      <c r="B192" s="114"/>
    </row>
    <row r="193" ht="15.75" customHeight="1">
      <c r="B193" s="114"/>
    </row>
    <row r="194" ht="15.75" customHeight="1">
      <c r="B194" s="114"/>
    </row>
    <row r="195" ht="15.75" customHeight="1">
      <c r="B195" s="114"/>
    </row>
    <row r="196" ht="15.75" customHeight="1">
      <c r="B196" s="114"/>
    </row>
    <row r="197" ht="15.75" customHeight="1">
      <c r="B197" s="114"/>
    </row>
    <row r="198" ht="15.75" customHeight="1">
      <c r="B198" s="114"/>
    </row>
    <row r="199" ht="15.75" customHeight="1">
      <c r="B199" s="114"/>
    </row>
    <row r="200" ht="15.75" customHeight="1">
      <c r="B200" s="114"/>
    </row>
    <row r="201" ht="15.75" customHeight="1">
      <c r="B201" s="114"/>
    </row>
    <row r="202" ht="15.75" customHeight="1">
      <c r="B202" s="114"/>
    </row>
    <row r="203" ht="15.75" customHeight="1">
      <c r="B203" s="114"/>
    </row>
    <row r="204" ht="15.75" customHeight="1">
      <c r="B204" s="114"/>
    </row>
    <row r="205" ht="15.75" customHeight="1">
      <c r="B205" s="114"/>
    </row>
    <row r="206" ht="15.75" customHeight="1">
      <c r="B206" s="114"/>
    </row>
    <row r="207" ht="15.75" customHeight="1">
      <c r="B207" s="114"/>
    </row>
    <row r="208" ht="15.75" customHeight="1">
      <c r="B208" s="114"/>
    </row>
    <row r="209" ht="15.75" customHeight="1">
      <c r="B209" s="114"/>
    </row>
    <row r="210" ht="15.75" customHeight="1">
      <c r="B210" s="114"/>
    </row>
    <row r="211" ht="15.75" customHeight="1">
      <c r="B211" s="114"/>
    </row>
    <row r="212" ht="15.75" customHeight="1">
      <c r="B212" s="114"/>
    </row>
    <row r="213" ht="15.75" customHeight="1">
      <c r="B213" s="114"/>
    </row>
    <row r="214" ht="15.75" customHeight="1">
      <c r="B214" s="114"/>
    </row>
    <row r="215" ht="15.75" customHeight="1">
      <c r="B215" s="114"/>
    </row>
    <row r="216" ht="15.75" customHeight="1">
      <c r="B216" s="114"/>
    </row>
    <row r="217" ht="15.75" customHeight="1">
      <c r="B217" s="114"/>
    </row>
    <row r="218" ht="15.75" customHeight="1">
      <c r="B218" s="114"/>
    </row>
    <row r="219" ht="15.75" customHeight="1">
      <c r="B219" s="114"/>
    </row>
    <row r="220" ht="15.75" customHeight="1">
      <c r="B220" s="114"/>
    </row>
    <row r="221" ht="15.75" customHeight="1">
      <c r="B221" s="114"/>
    </row>
    <row r="222" ht="15.75" customHeight="1">
      <c r="B222" s="114"/>
    </row>
    <row r="223" ht="15.75" customHeight="1">
      <c r="B223" s="114"/>
    </row>
    <row r="224" ht="15.75" customHeight="1">
      <c r="B224" s="114"/>
    </row>
    <row r="225" ht="15.75" customHeight="1">
      <c r="B225" s="114"/>
    </row>
    <row r="226" ht="15.75" customHeight="1">
      <c r="B226" s="114"/>
    </row>
    <row r="227" ht="15.75" customHeight="1">
      <c r="B227" s="114"/>
    </row>
    <row r="228" ht="15.75" customHeight="1">
      <c r="B228" s="114"/>
    </row>
    <row r="229" ht="15.75" customHeight="1">
      <c r="B229" s="114"/>
    </row>
    <row r="230" ht="15.75" customHeight="1">
      <c r="B230" s="114"/>
    </row>
    <row r="231" ht="15.75" customHeight="1">
      <c r="B231" s="114"/>
    </row>
    <row r="232" ht="15.75" customHeight="1">
      <c r="B232" s="114"/>
    </row>
    <row r="233" ht="15.75" customHeight="1">
      <c r="B233" s="114"/>
    </row>
    <row r="234" ht="15.75" customHeight="1">
      <c r="B234" s="114"/>
    </row>
    <row r="235" ht="15.75" customHeight="1">
      <c r="B235" s="114"/>
    </row>
    <row r="236" ht="15.75" customHeight="1">
      <c r="B236" s="114"/>
    </row>
    <row r="237" ht="15.75" customHeight="1">
      <c r="B237" s="114"/>
    </row>
    <row r="238" ht="15.75" customHeight="1">
      <c r="B238" s="114"/>
    </row>
    <row r="239" ht="15.75" customHeight="1">
      <c r="B239" s="114"/>
    </row>
    <row r="240" ht="15.75" customHeight="1">
      <c r="B240" s="114"/>
    </row>
    <row r="241" ht="15.75" customHeight="1">
      <c r="B241" s="114"/>
    </row>
    <row r="242" ht="15.75" customHeight="1">
      <c r="B242" s="114"/>
    </row>
    <row r="243" ht="15.75" customHeight="1">
      <c r="B243" s="114"/>
    </row>
    <row r="244" ht="15.75" customHeight="1">
      <c r="B244" s="114"/>
    </row>
    <row r="245" ht="15.75" customHeight="1">
      <c r="B245" s="114"/>
    </row>
    <row r="246" ht="15.75" customHeight="1">
      <c r="B246" s="114"/>
    </row>
    <row r="247" ht="15.75" customHeight="1">
      <c r="B247" s="114"/>
    </row>
    <row r="248" ht="15.75" customHeight="1">
      <c r="B248" s="114"/>
    </row>
    <row r="249" ht="15.75" customHeight="1">
      <c r="B249" s="114"/>
    </row>
    <row r="250" ht="15.75" customHeight="1">
      <c r="B250" s="114"/>
    </row>
    <row r="251" ht="15.75" customHeight="1">
      <c r="B251" s="114"/>
    </row>
    <row r="252" ht="15.75" customHeight="1">
      <c r="B252" s="114"/>
    </row>
    <row r="253" ht="15.75" customHeight="1">
      <c r="B253" s="114"/>
    </row>
    <row r="254" ht="15.75" customHeight="1">
      <c r="B254" s="114"/>
    </row>
    <row r="255" ht="15.75" customHeight="1">
      <c r="B255" s="114"/>
    </row>
    <row r="256" ht="15.75" customHeight="1">
      <c r="B256" s="114"/>
    </row>
    <row r="257" ht="15.75" customHeight="1">
      <c r="B257" s="114"/>
    </row>
    <row r="258" ht="15.75" customHeight="1">
      <c r="B258" s="114"/>
    </row>
    <row r="259" ht="15.75" customHeight="1">
      <c r="B259" s="114"/>
    </row>
    <row r="260" ht="15.75" customHeight="1">
      <c r="B260" s="114"/>
    </row>
    <row r="261" ht="15.75" customHeight="1">
      <c r="B261" s="114"/>
    </row>
    <row r="262" ht="15.75" customHeight="1">
      <c r="B262" s="114"/>
    </row>
    <row r="263" ht="15.75" customHeight="1">
      <c r="B263" s="114"/>
    </row>
    <row r="264" ht="15.75" customHeight="1">
      <c r="B264" s="114"/>
    </row>
    <row r="265" ht="15.75" customHeight="1">
      <c r="B265" s="114"/>
    </row>
    <row r="266" ht="15.75" customHeight="1">
      <c r="B266" s="114"/>
    </row>
    <row r="267" ht="15.75" customHeight="1">
      <c r="B267" s="114"/>
    </row>
    <row r="268" ht="15.75" customHeight="1">
      <c r="B268" s="114"/>
    </row>
    <row r="269" ht="15.75" customHeight="1">
      <c r="B269" s="114"/>
    </row>
    <row r="270" ht="15.75" customHeight="1">
      <c r="B270" s="114"/>
    </row>
    <row r="271" ht="15.75" customHeight="1">
      <c r="B271" s="114"/>
    </row>
    <row r="272" ht="15.75" customHeight="1">
      <c r="B272" s="114"/>
    </row>
    <row r="273" ht="15.75" customHeight="1">
      <c r="B273" s="114"/>
    </row>
    <row r="274" ht="15.75" customHeight="1">
      <c r="B274" s="114"/>
    </row>
    <row r="275" ht="15.75" customHeight="1">
      <c r="B275" s="114"/>
    </row>
    <row r="276" ht="15.75" customHeight="1">
      <c r="B276" s="114"/>
    </row>
    <row r="277" ht="15.75" customHeight="1">
      <c r="B277" s="114"/>
    </row>
    <row r="278" ht="15.75" customHeight="1">
      <c r="B278" s="114"/>
    </row>
    <row r="279" ht="15.75" customHeight="1">
      <c r="B279" s="114"/>
    </row>
    <row r="280" ht="15.75" customHeight="1">
      <c r="B280" s="114"/>
    </row>
    <row r="281" ht="15.75" customHeight="1">
      <c r="B281" s="114"/>
    </row>
    <row r="282" ht="15.75" customHeight="1">
      <c r="B282" s="114"/>
    </row>
    <row r="283" ht="15.75" customHeight="1">
      <c r="B283" s="114"/>
    </row>
    <row r="284" ht="15.75" customHeight="1">
      <c r="B284" s="114"/>
    </row>
    <row r="285" ht="15.75" customHeight="1">
      <c r="B285" s="114"/>
    </row>
    <row r="286" ht="15.75" customHeight="1">
      <c r="B286" s="114"/>
    </row>
    <row r="287" ht="15.75" customHeight="1">
      <c r="B287" s="114"/>
    </row>
    <row r="288" ht="15.75" customHeight="1">
      <c r="B288" s="114"/>
    </row>
    <row r="289" ht="15.75" customHeight="1">
      <c r="B289" s="114"/>
    </row>
    <row r="290" ht="15.75" customHeight="1">
      <c r="B290" s="114"/>
    </row>
    <row r="291" ht="15.75" customHeight="1">
      <c r="B291" s="114"/>
    </row>
    <row r="292" ht="15.75" customHeight="1">
      <c r="B292" s="114"/>
    </row>
    <row r="293" ht="15.75" customHeight="1">
      <c r="B293" s="114"/>
    </row>
    <row r="294" ht="15.75" customHeight="1">
      <c r="B294" s="114"/>
    </row>
    <row r="295" ht="15.75" customHeight="1">
      <c r="B295" s="114"/>
    </row>
    <row r="296" ht="15.75" customHeight="1">
      <c r="B296" s="114"/>
    </row>
    <row r="297" ht="15.75" customHeight="1">
      <c r="B297" s="114"/>
    </row>
    <row r="298" ht="15.75" customHeight="1">
      <c r="B298" s="114"/>
    </row>
    <row r="299" ht="15.75" customHeight="1">
      <c r="B299" s="114"/>
    </row>
    <row r="300" ht="15.75" customHeight="1">
      <c r="B300" s="114"/>
    </row>
    <row r="301" ht="15.75" customHeight="1">
      <c r="B301" s="114"/>
    </row>
    <row r="302" ht="15.75" customHeight="1">
      <c r="B302" s="114"/>
    </row>
    <row r="303" ht="15.75" customHeight="1">
      <c r="B303" s="114"/>
    </row>
    <row r="304" ht="15.75" customHeight="1">
      <c r="B304" s="114"/>
    </row>
    <row r="305" ht="15.75" customHeight="1">
      <c r="B305" s="114"/>
    </row>
    <row r="306" ht="15.75" customHeight="1">
      <c r="B306" s="114"/>
    </row>
    <row r="307" ht="15.75" customHeight="1">
      <c r="B307" s="114"/>
    </row>
    <row r="308" ht="15.75" customHeight="1">
      <c r="B308" s="114"/>
    </row>
    <row r="309" ht="15.75" customHeight="1">
      <c r="B309" s="114"/>
    </row>
    <row r="310" ht="15.75" customHeight="1">
      <c r="B310" s="114"/>
    </row>
    <row r="311" ht="15.75" customHeight="1">
      <c r="B311" s="114"/>
    </row>
    <row r="312" ht="15.75" customHeight="1">
      <c r="B312" s="114"/>
    </row>
    <row r="313" ht="15.75" customHeight="1">
      <c r="B313" s="114"/>
    </row>
    <row r="314" ht="15.75" customHeight="1">
      <c r="B314" s="114"/>
    </row>
    <row r="315" ht="15.75" customHeight="1">
      <c r="B315" s="114"/>
    </row>
    <row r="316" ht="15.75" customHeight="1">
      <c r="B316" s="114"/>
    </row>
    <row r="317" ht="15.75" customHeight="1">
      <c r="B317" s="114"/>
    </row>
    <row r="318" ht="15.75" customHeight="1">
      <c r="B318" s="114"/>
    </row>
    <row r="319" ht="15.75" customHeight="1">
      <c r="B319" s="114"/>
    </row>
    <row r="320" ht="15.75" customHeight="1">
      <c r="B320" s="114"/>
    </row>
    <row r="321" ht="15.75" customHeight="1">
      <c r="B321" s="114"/>
    </row>
    <row r="322" ht="15.75" customHeight="1">
      <c r="B322" s="114"/>
    </row>
    <row r="323" ht="15.75" customHeight="1">
      <c r="B323" s="114"/>
    </row>
    <row r="324" ht="15.75" customHeight="1">
      <c r="B324" s="114"/>
    </row>
    <row r="325" ht="15.75" customHeight="1">
      <c r="B325" s="114"/>
    </row>
    <row r="326" ht="15.75" customHeight="1">
      <c r="B326" s="114"/>
    </row>
    <row r="327" ht="15.75" customHeight="1">
      <c r="B327" s="114"/>
    </row>
    <row r="328" ht="15.75" customHeight="1">
      <c r="B328" s="114"/>
    </row>
    <row r="329" ht="15.75" customHeight="1">
      <c r="B329" s="114"/>
    </row>
    <row r="330" ht="15.75" customHeight="1">
      <c r="B330" s="114"/>
    </row>
    <row r="331" ht="15.75" customHeight="1">
      <c r="B331" s="114"/>
    </row>
    <row r="332" ht="15.75" customHeight="1">
      <c r="B332" s="114"/>
    </row>
    <row r="333" ht="15.75" customHeight="1">
      <c r="B333" s="114"/>
    </row>
    <row r="334" ht="15.75" customHeight="1">
      <c r="B334" s="114"/>
    </row>
    <row r="335" ht="15.75" customHeight="1">
      <c r="B335" s="114"/>
    </row>
    <row r="336" ht="15.75" customHeight="1">
      <c r="B336" s="114"/>
    </row>
    <row r="337" ht="15.75" customHeight="1">
      <c r="B337" s="114"/>
    </row>
    <row r="338" ht="15.75" customHeight="1">
      <c r="B338" s="114"/>
    </row>
    <row r="339" ht="15.75" customHeight="1">
      <c r="B339" s="114"/>
    </row>
    <row r="340" ht="15.75" customHeight="1">
      <c r="B340" s="114"/>
    </row>
    <row r="341" ht="15.75" customHeight="1">
      <c r="B341" s="114"/>
    </row>
    <row r="342" ht="15.75" customHeight="1">
      <c r="B342" s="114"/>
    </row>
    <row r="343" ht="15.75" customHeight="1">
      <c r="B343" s="114"/>
    </row>
    <row r="344" ht="15.75" customHeight="1">
      <c r="B344" s="114"/>
    </row>
    <row r="345" ht="15.75" customHeight="1">
      <c r="B345" s="114"/>
    </row>
    <row r="346" ht="15.75" customHeight="1">
      <c r="B346" s="114"/>
    </row>
    <row r="347" ht="15.75" customHeight="1">
      <c r="B347" s="114"/>
    </row>
    <row r="348" ht="15.75" customHeight="1">
      <c r="B348" s="114"/>
    </row>
    <row r="349" ht="15.75" customHeight="1">
      <c r="B349" s="114"/>
    </row>
    <row r="350" ht="15.75" customHeight="1">
      <c r="B350" s="114"/>
    </row>
    <row r="351" ht="15.75" customHeight="1">
      <c r="B351" s="114"/>
    </row>
    <row r="352" ht="15.75" customHeight="1">
      <c r="B352" s="114"/>
    </row>
    <row r="353" ht="15.75" customHeight="1">
      <c r="B353" s="114"/>
    </row>
    <row r="354" ht="15.75" customHeight="1">
      <c r="B354" s="114"/>
    </row>
    <row r="355" ht="15.75" customHeight="1">
      <c r="B355" s="114"/>
    </row>
    <row r="356" ht="15.75" customHeight="1">
      <c r="B356" s="114"/>
    </row>
    <row r="357" ht="15.75" customHeight="1">
      <c r="B357" s="114"/>
    </row>
    <row r="358" ht="15.75" customHeight="1">
      <c r="B358" s="114"/>
    </row>
    <row r="359" ht="15.75" customHeight="1">
      <c r="B359" s="114"/>
    </row>
    <row r="360" ht="15.75" customHeight="1">
      <c r="B360" s="114"/>
    </row>
    <row r="361" ht="15.75" customHeight="1">
      <c r="B361" s="114"/>
    </row>
    <row r="362" ht="15.75" customHeight="1">
      <c r="B362" s="114"/>
    </row>
    <row r="363" ht="15.75" customHeight="1">
      <c r="B363" s="114"/>
    </row>
    <row r="364" ht="15.75" customHeight="1">
      <c r="B364" s="114"/>
    </row>
    <row r="365" ht="15.75" customHeight="1">
      <c r="B365" s="114"/>
    </row>
    <row r="366" ht="15.75" customHeight="1">
      <c r="B366" s="114"/>
    </row>
    <row r="367" ht="15.75" customHeight="1">
      <c r="B367" s="114"/>
    </row>
    <row r="368" ht="15.75" customHeight="1">
      <c r="B368" s="114"/>
    </row>
    <row r="369" ht="15.75" customHeight="1">
      <c r="B369" s="114"/>
    </row>
    <row r="370" ht="15.75" customHeight="1">
      <c r="B370" s="114"/>
    </row>
    <row r="371" ht="15.75" customHeight="1">
      <c r="B371" s="114"/>
    </row>
    <row r="372" ht="15.75" customHeight="1">
      <c r="B372" s="114"/>
    </row>
    <row r="373" ht="15.75" customHeight="1">
      <c r="B373" s="114"/>
    </row>
    <row r="374" ht="15.75" customHeight="1">
      <c r="B374" s="114"/>
    </row>
    <row r="375" ht="15.75" customHeight="1">
      <c r="B375" s="114"/>
    </row>
    <row r="376" ht="15.75" customHeight="1">
      <c r="B376" s="114"/>
    </row>
    <row r="377" ht="15.75" customHeight="1">
      <c r="B377" s="114"/>
    </row>
    <row r="378" ht="15.75" customHeight="1">
      <c r="B378" s="114"/>
    </row>
    <row r="379" ht="15.75" customHeight="1">
      <c r="B379" s="114"/>
    </row>
    <row r="380" ht="15.75" customHeight="1">
      <c r="B380" s="114"/>
    </row>
    <row r="381" ht="15.75" customHeight="1">
      <c r="B381" s="114"/>
    </row>
    <row r="382" ht="15.75" customHeight="1">
      <c r="B382" s="114"/>
    </row>
    <row r="383" ht="15.75" customHeight="1">
      <c r="B383" s="114"/>
    </row>
    <row r="384" ht="15.75" customHeight="1">
      <c r="B384" s="114"/>
    </row>
    <row r="385" ht="15.75" customHeight="1">
      <c r="B385" s="114"/>
    </row>
    <row r="386" ht="15.75" customHeight="1">
      <c r="B386" s="114"/>
    </row>
    <row r="387" ht="15.75" customHeight="1">
      <c r="B387" s="114"/>
    </row>
    <row r="388" ht="15.75" customHeight="1">
      <c r="B388" s="114"/>
    </row>
    <row r="389" ht="15.75" customHeight="1">
      <c r="B389" s="114"/>
    </row>
    <row r="390" ht="15.75" customHeight="1">
      <c r="B390" s="114"/>
    </row>
    <row r="391" ht="15.75" customHeight="1">
      <c r="B391" s="114"/>
    </row>
    <row r="392" ht="15.75" customHeight="1">
      <c r="B392" s="114"/>
    </row>
    <row r="393" ht="15.75" customHeight="1">
      <c r="B393" s="114"/>
    </row>
    <row r="394" ht="15.75" customHeight="1">
      <c r="B394" s="114"/>
    </row>
    <row r="395" ht="15.75" customHeight="1">
      <c r="B395" s="114"/>
    </row>
    <row r="396" ht="15.75" customHeight="1">
      <c r="B396" s="114"/>
    </row>
    <row r="397" ht="15.75" customHeight="1">
      <c r="B397" s="114"/>
    </row>
    <row r="398" ht="15.75" customHeight="1">
      <c r="B398" s="114"/>
    </row>
    <row r="399" ht="15.75" customHeight="1">
      <c r="B399" s="114"/>
    </row>
    <row r="400" ht="15.75" customHeight="1">
      <c r="B400" s="114"/>
    </row>
    <row r="401" ht="15.75" customHeight="1">
      <c r="B401" s="114"/>
    </row>
    <row r="402" ht="15.75" customHeight="1">
      <c r="B402" s="114"/>
    </row>
    <row r="403" ht="15.75" customHeight="1">
      <c r="B403" s="114"/>
    </row>
    <row r="404" ht="15.75" customHeight="1">
      <c r="B404" s="114"/>
    </row>
    <row r="405" ht="15.75" customHeight="1">
      <c r="B405" s="114"/>
    </row>
    <row r="406" ht="15.75" customHeight="1">
      <c r="B406" s="114"/>
    </row>
    <row r="407" ht="15.75" customHeight="1">
      <c r="B407" s="114"/>
    </row>
    <row r="408" ht="15.75" customHeight="1">
      <c r="B408" s="114"/>
    </row>
    <row r="409" ht="15.75" customHeight="1">
      <c r="B409" s="114"/>
    </row>
    <row r="410" ht="15.75" customHeight="1">
      <c r="B410" s="114"/>
    </row>
    <row r="411" ht="15.75" customHeight="1">
      <c r="B411" s="114"/>
    </row>
    <row r="412" ht="15.75" customHeight="1">
      <c r="B412" s="114"/>
    </row>
    <row r="413" ht="15.75" customHeight="1">
      <c r="B413" s="114"/>
    </row>
    <row r="414" ht="15.75" customHeight="1">
      <c r="B414" s="114"/>
    </row>
    <row r="415" ht="15.75" customHeight="1">
      <c r="B415" s="114"/>
    </row>
    <row r="416" ht="15.75" customHeight="1">
      <c r="B416" s="114"/>
    </row>
    <row r="417" ht="15.75" customHeight="1">
      <c r="B417" s="114"/>
    </row>
    <row r="418" ht="15.75" customHeight="1">
      <c r="B418" s="114"/>
    </row>
    <row r="419" ht="15.75" customHeight="1">
      <c r="B419" s="114"/>
    </row>
    <row r="420" ht="15.75" customHeight="1">
      <c r="B420" s="114"/>
    </row>
    <row r="421" ht="15.75" customHeight="1">
      <c r="B421" s="114"/>
    </row>
    <row r="422" ht="15.75" customHeight="1">
      <c r="B422" s="114"/>
    </row>
    <row r="423" ht="15.75" customHeight="1">
      <c r="B423" s="114"/>
    </row>
    <row r="424" ht="15.75" customHeight="1">
      <c r="B424" s="114"/>
    </row>
    <row r="425" ht="15.75" customHeight="1">
      <c r="B425" s="114"/>
    </row>
    <row r="426" ht="15.75" customHeight="1">
      <c r="B426" s="114"/>
    </row>
    <row r="427" ht="15.75" customHeight="1">
      <c r="B427" s="114"/>
    </row>
    <row r="428" ht="15.75" customHeight="1">
      <c r="B428" s="114"/>
    </row>
    <row r="429" ht="15.75" customHeight="1">
      <c r="B429" s="114"/>
    </row>
    <row r="430" ht="15.75" customHeight="1">
      <c r="B430" s="114"/>
    </row>
    <row r="431" ht="15.75" customHeight="1">
      <c r="B431" s="114"/>
    </row>
    <row r="432" ht="15.75" customHeight="1">
      <c r="B432" s="114"/>
    </row>
    <row r="433" ht="15.75" customHeight="1">
      <c r="B433" s="114"/>
    </row>
    <row r="434" ht="15.75" customHeight="1">
      <c r="B434" s="114"/>
    </row>
    <row r="435" ht="15.75" customHeight="1">
      <c r="B435" s="114"/>
    </row>
    <row r="436" ht="15.75" customHeight="1">
      <c r="B436" s="114"/>
    </row>
    <row r="437" ht="15.75" customHeight="1">
      <c r="B437" s="114"/>
    </row>
    <row r="438" ht="15.75" customHeight="1">
      <c r="B438" s="114"/>
    </row>
    <row r="439" ht="15.75" customHeight="1">
      <c r="B439" s="114"/>
    </row>
    <row r="440" ht="15.75" customHeight="1">
      <c r="B440" s="114"/>
    </row>
    <row r="441" ht="15.75" customHeight="1">
      <c r="B441" s="114"/>
    </row>
    <row r="442" ht="15.75" customHeight="1">
      <c r="B442" s="114"/>
    </row>
    <row r="443" ht="15.75" customHeight="1">
      <c r="B443" s="114"/>
    </row>
    <row r="444" ht="15.75" customHeight="1">
      <c r="B444" s="114"/>
    </row>
    <row r="445" ht="15.75" customHeight="1">
      <c r="B445" s="114"/>
    </row>
    <row r="446" ht="15.75" customHeight="1">
      <c r="B446" s="114"/>
    </row>
    <row r="447" ht="15.75" customHeight="1">
      <c r="B447" s="114"/>
    </row>
    <row r="448" ht="15.75" customHeight="1">
      <c r="B448" s="114"/>
    </row>
    <row r="449" ht="15.75" customHeight="1">
      <c r="B449" s="114"/>
    </row>
    <row r="450" ht="15.75" customHeight="1">
      <c r="B450" s="114"/>
    </row>
    <row r="451" ht="15.75" customHeight="1">
      <c r="B451" s="114"/>
    </row>
    <row r="452" ht="15.75" customHeight="1">
      <c r="B452" s="114"/>
    </row>
    <row r="453" ht="15.75" customHeight="1">
      <c r="B453" s="114"/>
    </row>
    <row r="454" ht="15.75" customHeight="1">
      <c r="B454" s="114"/>
    </row>
    <row r="455" ht="15.75" customHeight="1">
      <c r="B455" s="114"/>
    </row>
    <row r="456" ht="15.75" customHeight="1">
      <c r="B456" s="114"/>
    </row>
    <row r="457" ht="15.75" customHeight="1">
      <c r="B457" s="114"/>
    </row>
    <row r="458" ht="15.75" customHeight="1">
      <c r="B458" s="114"/>
    </row>
    <row r="459" ht="15.75" customHeight="1">
      <c r="B459" s="114"/>
    </row>
    <row r="460" ht="15.75" customHeight="1">
      <c r="B460" s="114"/>
    </row>
    <row r="461" ht="15.75" customHeight="1">
      <c r="B461" s="114"/>
    </row>
    <row r="462" ht="15.75" customHeight="1">
      <c r="B462" s="114"/>
    </row>
    <row r="463" ht="15.75" customHeight="1">
      <c r="B463" s="114"/>
    </row>
    <row r="464" ht="15.75" customHeight="1">
      <c r="B464" s="114"/>
    </row>
    <row r="465" ht="15.75" customHeight="1">
      <c r="B465" s="114"/>
    </row>
    <row r="466" ht="15.75" customHeight="1">
      <c r="B466" s="114"/>
    </row>
    <row r="467" ht="15.75" customHeight="1">
      <c r="B467" s="114"/>
    </row>
    <row r="468" ht="15.75" customHeight="1">
      <c r="B468" s="114"/>
    </row>
    <row r="469" ht="15.75" customHeight="1">
      <c r="B469" s="114"/>
    </row>
    <row r="470" ht="15.75" customHeight="1">
      <c r="B470" s="114"/>
    </row>
    <row r="471" ht="15.75" customHeight="1">
      <c r="B471" s="114"/>
    </row>
    <row r="472" ht="15.75" customHeight="1">
      <c r="B472" s="114"/>
    </row>
    <row r="473" ht="15.75" customHeight="1">
      <c r="B473" s="114"/>
    </row>
    <row r="474" ht="15.75" customHeight="1">
      <c r="B474" s="114"/>
    </row>
    <row r="475" ht="15.75" customHeight="1">
      <c r="B475" s="114"/>
    </row>
    <row r="476" ht="15.75" customHeight="1">
      <c r="B476" s="114"/>
    </row>
    <row r="477" ht="15.75" customHeight="1">
      <c r="B477" s="114"/>
    </row>
    <row r="478" ht="15.75" customHeight="1">
      <c r="B478" s="114"/>
    </row>
    <row r="479" ht="15.75" customHeight="1">
      <c r="B479" s="114"/>
    </row>
    <row r="480" ht="15.75" customHeight="1">
      <c r="B480" s="114"/>
    </row>
    <row r="481" ht="15.75" customHeight="1">
      <c r="B481" s="114"/>
    </row>
    <row r="482" ht="15.75" customHeight="1">
      <c r="B482" s="114"/>
    </row>
    <row r="483" ht="15.75" customHeight="1">
      <c r="B483" s="114"/>
    </row>
    <row r="484" ht="15.75" customHeight="1">
      <c r="B484" s="114"/>
    </row>
    <row r="485" ht="15.75" customHeight="1">
      <c r="B485" s="114"/>
    </row>
    <row r="486" ht="15.75" customHeight="1">
      <c r="B486" s="114"/>
    </row>
    <row r="487" ht="15.75" customHeight="1">
      <c r="B487" s="114"/>
    </row>
    <row r="488" ht="15.75" customHeight="1">
      <c r="B488" s="114"/>
    </row>
    <row r="489" ht="15.75" customHeight="1">
      <c r="B489" s="114"/>
    </row>
    <row r="490" ht="15.75" customHeight="1">
      <c r="B490" s="114"/>
    </row>
    <row r="491" ht="15.75" customHeight="1">
      <c r="B491" s="114"/>
    </row>
    <row r="492" ht="15.75" customHeight="1">
      <c r="B492" s="114"/>
    </row>
    <row r="493" ht="15.75" customHeight="1">
      <c r="B493" s="114"/>
    </row>
    <row r="494" ht="15.75" customHeight="1">
      <c r="B494" s="114"/>
    </row>
    <row r="495" ht="15.75" customHeight="1">
      <c r="B495" s="114"/>
    </row>
    <row r="496" ht="15.75" customHeight="1">
      <c r="B496" s="114"/>
    </row>
    <row r="497" ht="15.75" customHeight="1">
      <c r="B497" s="114"/>
    </row>
    <row r="498" ht="15.75" customHeight="1">
      <c r="B498" s="114"/>
    </row>
    <row r="499" ht="15.75" customHeight="1">
      <c r="B499" s="114"/>
    </row>
    <row r="500" ht="15.75" customHeight="1">
      <c r="B500" s="114"/>
    </row>
    <row r="501" ht="15.75" customHeight="1">
      <c r="B501" s="114"/>
    </row>
    <row r="502" ht="15.75" customHeight="1">
      <c r="B502" s="114"/>
    </row>
    <row r="503" ht="15.75" customHeight="1">
      <c r="B503" s="114"/>
    </row>
    <row r="504" ht="15.75" customHeight="1">
      <c r="B504" s="114"/>
    </row>
    <row r="505" ht="15.75" customHeight="1">
      <c r="B505" s="114"/>
    </row>
    <row r="506" ht="15.75" customHeight="1">
      <c r="B506" s="114"/>
    </row>
    <row r="507" ht="15.75" customHeight="1">
      <c r="B507" s="114"/>
    </row>
    <row r="508" ht="15.75" customHeight="1">
      <c r="B508" s="114"/>
    </row>
    <row r="509" ht="15.75" customHeight="1">
      <c r="B509" s="114"/>
    </row>
    <row r="510" ht="15.75" customHeight="1">
      <c r="B510" s="114"/>
    </row>
    <row r="511" ht="15.75" customHeight="1">
      <c r="B511" s="114"/>
    </row>
    <row r="512" ht="15.75" customHeight="1">
      <c r="B512" s="114"/>
    </row>
    <row r="513" ht="15.75" customHeight="1">
      <c r="B513" s="114"/>
    </row>
    <row r="514" ht="15.75" customHeight="1">
      <c r="B514" s="114"/>
    </row>
    <row r="515" ht="15.75" customHeight="1">
      <c r="B515" s="114"/>
    </row>
    <row r="516" ht="15.75" customHeight="1">
      <c r="B516" s="114"/>
    </row>
    <row r="517" ht="15.75" customHeight="1">
      <c r="B517" s="114"/>
    </row>
    <row r="518" ht="15.75" customHeight="1">
      <c r="B518" s="114"/>
    </row>
    <row r="519" ht="15.75" customHeight="1">
      <c r="B519" s="114"/>
    </row>
    <row r="520" ht="15.75" customHeight="1">
      <c r="B520" s="114"/>
    </row>
    <row r="521" ht="15.75" customHeight="1">
      <c r="B521" s="114"/>
    </row>
    <row r="522" ht="15.75" customHeight="1">
      <c r="B522" s="114"/>
    </row>
    <row r="523" ht="15.75" customHeight="1">
      <c r="B523" s="114"/>
    </row>
    <row r="524" ht="15.75" customHeight="1">
      <c r="B524" s="114"/>
    </row>
    <row r="525" ht="15.75" customHeight="1">
      <c r="B525" s="114"/>
    </row>
    <row r="526" ht="15.75" customHeight="1">
      <c r="B526" s="114"/>
    </row>
    <row r="527" ht="15.75" customHeight="1">
      <c r="B527" s="114"/>
    </row>
    <row r="528" ht="15.75" customHeight="1">
      <c r="B528" s="114"/>
    </row>
    <row r="529" ht="15.75" customHeight="1">
      <c r="B529" s="114"/>
    </row>
    <row r="530" ht="15.75" customHeight="1">
      <c r="B530" s="114"/>
    </row>
    <row r="531" ht="15.75" customHeight="1">
      <c r="B531" s="114"/>
    </row>
    <row r="532" ht="15.75" customHeight="1">
      <c r="B532" s="114"/>
    </row>
    <row r="533" ht="15.75" customHeight="1">
      <c r="B533" s="114"/>
    </row>
    <row r="534" ht="15.75" customHeight="1">
      <c r="B534" s="114"/>
    </row>
    <row r="535" ht="15.75" customHeight="1">
      <c r="B535" s="114"/>
    </row>
    <row r="536" ht="15.75" customHeight="1">
      <c r="B536" s="114"/>
    </row>
    <row r="537" ht="15.75" customHeight="1">
      <c r="B537" s="114"/>
    </row>
    <row r="538" ht="15.75" customHeight="1">
      <c r="B538" s="114"/>
    </row>
    <row r="539" ht="15.75" customHeight="1">
      <c r="B539" s="114"/>
    </row>
    <row r="540" ht="15.75" customHeight="1">
      <c r="B540" s="114"/>
    </row>
    <row r="541" ht="15.75" customHeight="1">
      <c r="B541" s="114"/>
    </row>
    <row r="542" ht="15.75" customHeight="1">
      <c r="B542" s="114"/>
    </row>
    <row r="543" ht="15.75" customHeight="1">
      <c r="B543" s="114"/>
    </row>
    <row r="544" ht="15.75" customHeight="1">
      <c r="B544" s="114"/>
    </row>
    <row r="545" ht="15.75" customHeight="1">
      <c r="B545" s="114"/>
    </row>
    <row r="546" ht="15.75" customHeight="1">
      <c r="B546" s="114"/>
    </row>
    <row r="547" ht="15.75" customHeight="1">
      <c r="B547" s="114"/>
    </row>
    <row r="548" ht="15.75" customHeight="1">
      <c r="B548" s="114"/>
    </row>
    <row r="549" ht="15.75" customHeight="1">
      <c r="B549" s="114"/>
    </row>
    <row r="550" ht="15.75" customHeight="1">
      <c r="B550" s="114"/>
    </row>
    <row r="551" ht="15.75" customHeight="1">
      <c r="B551" s="114"/>
    </row>
    <row r="552" ht="15.75" customHeight="1">
      <c r="B552" s="114"/>
    </row>
    <row r="553" ht="15.75" customHeight="1">
      <c r="B553" s="114"/>
    </row>
    <row r="554" ht="15.75" customHeight="1">
      <c r="B554" s="114"/>
    </row>
    <row r="555" ht="15.75" customHeight="1">
      <c r="B555" s="114"/>
    </row>
    <row r="556" ht="15.75" customHeight="1">
      <c r="B556" s="114"/>
    </row>
    <row r="557" ht="15.75" customHeight="1">
      <c r="B557" s="114"/>
    </row>
    <row r="558" ht="15.75" customHeight="1">
      <c r="B558" s="114"/>
    </row>
    <row r="559" ht="15.75" customHeight="1">
      <c r="B559" s="114"/>
    </row>
    <row r="560" ht="15.75" customHeight="1">
      <c r="B560" s="114"/>
    </row>
    <row r="561" ht="15.75" customHeight="1">
      <c r="B561" s="114"/>
    </row>
    <row r="562" ht="15.75" customHeight="1">
      <c r="B562" s="114"/>
    </row>
    <row r="563" ht="15.75" customHeight="1">
      <c r="B563" s="114"/>
    </row>
    <row r="564" ht="15.75" customHeight="1">
      <c r="B564" s="114"/>
    </row>
    <row r="565" ht="15.75" customHeight="1">
      <c r="B565" s="114"/>
    </row>
    <row r="566" ht="15.75" customHeight="1">
      <c r="B566" s="114"/>
    </row>
    <row r="567" ht="15.75" customHeight="1">
      <c r="B567" s="114"/>
    </row>
    <row r="568" ht="15.75" customHeight="1">
      <c r="B568" s="114"/>
    </row>
    <row r="569" ht="15.75" customHeight="1">
      <c r="B569" s="114"/>
    </row>
    <row r="570" ht="15.75" customHeight="1">
      <c r="B570" s="114"/>
    </row>
    <row r="571" ht="15.75" customHeight="1">
      <c r="B571" s="114"/>
    </row>
    <row r="572" ht="15.75" customHeight="1">
      <c r="B572" s="114"/>
    </row>
    <row r="573" ht="15.75" customHeight="1">
      <c r="B573" s="114"/>
    </row>
    <row r="574" ht="15.75" customHeight="1">
      <c r="B574" s="114"/>
    </row>
    <row r="575" ht="15.75" customHeight="1">
      <c r="B575" s="114"/>
    </row>
    <row r="576" ht="15.75" customHeight="1">
      <c r="B576" s="114"/>
    </row>
    <row r="577" ht="15.75" customHeight="1">
      <c r="B577" s="114"/>
    </row>
    <row r="578" ht="15.75" customHeight="1">
      <c r="B578" s="114"/>
    </row>
    <row r="579" ht="15.75" customHeight="1">
      <c r="B579" s="114"/>
    </row>
    <row r="580" ht="15.75" customHeight="1">
      <c r="B580" s="114"/>
    </row>
    <row r="581" ht="15.75" customHeight="1">
      <c r="B581" s="114"/>
    </row>
    <row r="582" ht="15.75" customHeight="1">
      <c r="B582" s="114"/>
    </row>
    <row r="583" ht="15.75" customHeight="1">
      <c r="B583" s="114"/>
    </row>
    <row r="584" ht="15.75" customHeight="1">
      <c r="B584" s="114"/>
    </row>
    <row r="585" ht="15.75" customHeight="1">
      <c r="B585" s="114"/>
    </row>
    <row r="586" ht="15.75" customHeight="1">
      <c r="B586" s="114"/>
    </row>
    <row r="587" ht="15.75" customHeight="1">
      <c r="B587" s="114"/>
    </row>
    <row r="588" ht="15.75" customHeight="1">
      <c r="B588" s="114"/>
    </row>
    <row r="589" ht="15.75" customHeight="1">
      <c r="B589" s="114"/>
    </row>
    <row r="590" ht="15.75" customHeight="1">
      <c r="B590" s="114"/>
    </row>
    <row r="591" ht="15.75" customHeight="1">
      <c r="B591" s="114"/>
    </row>
    <row r="592" ht="15.75" customHeight="1">
      <c r="B592" s="114"/>
    </row>
    <row r="593" ht="15.75" customHeight="1">
      <c r="B593" s="114"/>
    </row>
    <row r="594" ht="15.75" customHeight="1">
      <c r="B594" s="114"/>
    </row>
    <row r="595" ht="15.75" customHeight="1">
      <c r="B595" s="114"/>
    </row>
    <row r="596" ht="15.75" customHeight="1">
      <c r="B596" s="114"/>
    </row>
    <row r="597" ht="15.75" customHeight="1">
      <c r="B597" s="114"/>
    </row>
    <row r="598" ht="15.75" customHeight="1">
      <c r="B598" s="114"/>
    </row>
    <row r="599" ht="15.75" customHeight="1">
      <c r="B599" s="114"/>
    </row>
    <row r="600" ht="15.75" customHeight="1">
      <c r="B600" s="114"/>
    </row>
    <row r="601" ht="15.75" customHeight="1">
      <c r="B601" s="114"/>
    </row>
    <row r="602" ht="15.75" customHeight="1">
      <c r="B602" s="114"/>
    </row>
    <row r="603" ht="15.75" customHeight="1">
      <c r="B603" s="114"/>
    </row>
    <row r="604" ht="15.75" customHeight="1">
      <c r="B604" s="114"/>
    </row>
    <row r="605" ht="15.75" customHeight="1">
      <c r="B605" s="114"/>
    </row>
    <row r="606" ht="15.75" customHeight="1">
      <c r="B606" s="114"/>
    </row>
    <row r="607" ht="15.75" customHeight="1">
      <c r="B607" s="114"/>
    </row>
    <row r="608" ht="15.75" customHeight="1">
      <c r="B608" s="114"/>
    </row>
    <row r="609" ht="15.75" customHeight="1">
      <c r="B609" s="114"/>
    </row>
    <row r="610" ht="15.75" customHeight="1">
      <c r="B610" s="114"/>
    </row>
    <row r="611" ht="15.75" customHeight="1">
      <c r="B611" s="114"/>
    </row>
    <row r="612" ht="15.75" customHeight="1">
      <c r="B612" s="114"/>
    </row>
    <row r="613" ht="15.75" customHeight="1">
      <c r="B613" s="114"/>
    </row>
    <row r="614" ht="15.75" customHeight="1">
      <c r="B614" s="114"/>
    </row>
    <row r="615" ht="15.75" customHeight="1">
      <c r="B615" s="114"/>
    </row>
    <row r="616" ht="15.75" customHeight="1">
      <c r="B616" s="114"/>
    </row>
    <row r="617" ht="15.75" customHeight="1">
      <c r="B617" s="114"/>
    </row>
    <row r="618" ht="15.75" customHeight="1">
      <c r="B618" s="114"/>
    </row>
    <row r="619" ht="15.75" customHeight="1">
      <c r="B619" s="114"/>
    </row>
    <row r="620" ht="15.75" customHeight="1">
      <c r="B620" s="114"/>
    </row>
    <row r="621" ht="15.75" customHeight="1">
      <c r="B621" s="114"/>
    </row>
    <row r="622" ht="15.75" customHeight="1">
      <c r="B622" s="114"/>
    </row>
    <row r="623" ht="15.75" customHeight="1">
      <c r="B623" s="114"/>
    </row>
    <row r="624" ht="15.75" customHeight="1">
      <c r="B624" s="114"/>
    </row>
    <row r="625" ht="15.75" customHeight="1">
      <c r="B625" s="114"/>
    </row>
    <row r="626" ht="15.75" customHeight="1">
      <c r="B626" s="114"/>
    </row>
    <row r="627" ht="15.75" customHeight="1">
      <c r="B627" s="114"/>
    </row>
    <row r="628" ht="15.75" customHeight="1">
      <c r="B628" s="114"/>
    </row>
    <row r="629" ht="15.75" customHeight="1">
      <c r="B629" s="114"/>
    </row>
    <row r="630" ht="15.75" customHeight="1">
      <c r="B630" s="114"/>
    </row>
    <row r="631" ht="15.75" customHeight="1">
      <c r="B631" s="114"/>
    </row>
    <row r="632" ht="15.75" customHeight="1">
      <c r="B632" s="114"/>
    </row>
    <row r="633" ht="15.75" customHeight="1">
      <c r="B633" s="114"/>
    </row>
    <row r="634" ht="15.75" customHeight="1">
      <c r="B634" s="114"/>
    </row>
    <row r="635" ht="15.75" customHeight="1">
      <c r="B635" s="114"/>
    </row>
    <row r="636" ht="15.75" customHeight="1">
      <c r="B636" s="114"/>
    </row>
    <row r="637" ht="15.75" customHeight="1">
      <c r="B637" s="114"/>
    </row>
    <row r="638" ht="15.75" customHeight="1">
      <c r="B638" s="114"/>
    </row>
    <row r="639" ht="15.75" customHeight="1">
      <c r="B639" s="114"/>
    </row>
    <row r="640" ht="15.75" customHeight="1">
      <c r="B640" s="114"/>
    </row>
    <row r="641" ht="15.75" customHeight="1">
      <c r="B641" s="114"/>
    </row>
    <row r="642" ht="15.75" customHeight="1">
      <c r="B642" s="114"/>
    </row>
    <row r="643" ht="15.75" customHeight="1">
      <c r="B643" s="114"/>
    </row>
    <row r="644" ht="15.75" customHeight="1">
      <c r="B644" s="114"/>
    </row>
    <row r="645" ht="15.75" customHeight="1">
      <c r="B645" s="114"/>
    </row>
    <row r="646" ht="15.75" customHeight="1">
      <c r="B646" s="114"/>
    </row>
    <row r="647" ht="15.75" customHeight="1">
      <c r="B647" s="114"/>
    </row>
    <row r="648" ht="15.75" customHeight="1">
      <c r="B648" s="114"/>
    </row>
    <row r="649" ht="15.75" customHeight="1">
      <c r="B649" s="114"/>
    </row>
    <row r="650" ht="15.75" customHeight="1">
      <c r="B650" s="114"/>
    </row>
    <row r="651" ht="15.75" customHeight="1">
      <c r="B651" s="114"/>
    </row>
    <row r="652" ht="15.75" customHeight="1">
      <c r="B652" s="114"/>
    </row>
    <row r="653" ht="15.75" customHeight="1">
      <c r="B653" s="114"/>
    </row>
    <row r="654" ht="15.75" customHeight="1">
      <c r="B654" s="114"/>
    </row>
    <row r="655" ht="15.75" customHeight="1">
      <c r="B655" s="114"/>
    </row>
    <row r="656" ht="15.75" customHeight="1">
      <c r="B656" s="114"/>
    </row>
    <row r="657" ht="15.75" customHeight="1">
      <c r="B657" s="114"/>
    </row>
    <row r="658" ht="15.75" customHeight="1">
      <c r="B658" s="114"/>
    </row>
    <row r="659" ht="15.75" customHeight="1">
      <c r="B659" s="114"/>
    </row>
    <row r="660" ht="15.75" customHeight="1">
      <c r="B660" s="114"/>
    </row>
    <row r="661" ht="15.75" customHeight="1">
      <c r="B661" s="114"/>
    </row>
    <row r="662" ht="15.75" customHeight="1">
      <c r="B662" s="114"/>
    </row>
    <row r="663" ht="15.75" customHeight="1">
      <c r="B663" s="114"/>
    </row>
    <row r="664" ht="15.75" customHeight="1">
      <c r="B664" s="114"/>
    </row>
    <row r="665" ht="15.75" customHeight="1">
      <c r="B665" s="114"/>
    </row>
    <row r="666" ht="15.75" customHeight="1">
      <c r="B666" s="114"/>
    </row>
    <row r="667" ht="15.75" customHeight="1">
      <c r="B667" s="114"/>
    </row>
    <row r="668" ht="15.75" customHeight="1">
      <c r="B668" s="114"/>
    </row>
    <row r="669" ht="15.75" customHeight="1">
      <c r="B669" s="114"/>
    </row>
    <row r="670" ht="15.75" customHeight="1">
      <c r="B670" s="114"/>
    </row>
    <row r="671" ht="15.75" customHeight="1">
      <c r="B671" s="114"/>
    </row>
    <row r="672" ht="15.75" customHeight="1">
      <c r="B672" s="114"/>
    </row>
    <row r="673" ht="15.75" customHeight="1">
      <c r="B673" s="114"/>
    </row>
    <row r="674" ht="15.75" customHeight="1">
      <c r="B674" s="114"/>
    </row>
    <row r="675" ht="15.75" customHeight="1">
      <c r="B675" s="114"/>
    </row>
    <row r="676" ht="15.75" customHeight="1">
      <c r="B676" s="114"/>
    </row>
    <row r="677" ht="15.75" customHeight="1">
      <c r="B677" s="114"/>
    </row>
    <row r="678" ht="15.75" customHeight="1">
      <c r="B678" s="114"/>
    </row>
    <row r="679" ht="15.75" customHeight="1">
      <c r="B679" s="114"/>
    </row>
    <row r="680" ht="15.75" customHeight="1">
      <c r="B680" s="114"/>
    </row>
    <row r="681" ht="15.75" customHeight="1">
      <c r="B681" s="114"/>
    </row>
    <row r="682" ht="15.75" customHeight="1">
      <c r="B682" s="114"/>
    </row>
    <row r="683" ht="15.75" customHeight="1">
      <c r="B683" s="114"/>
    </row>
    <row r="684" ht="15.75" customHeight="1">
      <c r="B684" s="114"/>
    </row>
    <row r="685" ht="15.75" customHeight="1">
      <c r="B685" s="114"/>
    </row>
    <row r="686" ht="15.75" customHeight="1">
      <c r="B686" s="114"/>
    </row>
    <row r="687" ht="15.75" customHeight="1">
      <c r="B687" s="114"/>
    </row>
    <row r="688" ht="15.75" customHeight="1">
      <c r="B688" s="114"/>
    </row>
    <row r="689" ht="15.75" customHeight="1">
      <c r="B689" s="114"/>
    </row>
    <row r="690" ht="15.75" customHeight="1">
      <c r="B690" s="114"/>
    </row>
    <row r="691" ht="15.75" customHeight="1">
      <c r="B691" s="114"/>
    </row>
    <row r="692" ht="15.75" customHeight="1">
      <c r="B692" s="114"/>
    </row>
    <row r="693" ht="15.75" customHeight="1">
      <c r="B693" s="114"/>
    </row>
    <row r="694" ht="15.75" customHeight="1">
      <c r="B694" s="114"/>
    </row>
    <row r="695" ht="15.75" customHeight="1">
      <c r="B695" s="114"/>
    </row>
    <row r="696" ht="15.75" customHeight="1">
      <c r="B696" s="114"/>
    </row>
    <row r="697" ht="15.75" customHeight="1">
      <c r="B697" s="114"/>
    </row>
    <row r="698" ht="15.75" customHeight="1">
      <c r="B698" s="114"/>
    </row>
    <row r="699" ht="15.75" customHeight="1">
      <c r="B699" s="114"/>
    </row>
    <row r="700" ht="15.75" customHeight="1">
      <c r="B700" s="114"/>
    </row>
    <row r="701" ht="15.75" customHeight="1">
      <c r="B701" s="114"/>
    </row>
    <row r="702" ht="15.75" customHeight="1">
      <c r="B702" s="114"/>
    </row>
    <row r="703" ht="15.75" customHeight="1">
      <c r="B703" s="114"/>
    </row>
    <row r="704" ht="15.75" customHeight="1">
      <c r="B704" s="114"/>
    </row>
    <row r="705" ht="15.75" customHeight="1">
      <c r="B705" s="114"/>
    </row>
    <row r="706" ht="15.75" customHeight="1">
      <c r="B706" s="114"/>
    </row>
    <row r="707" ht="15.75" customHeight="1">
      <c r="B707" s="114"/>
    </row>
    <row r="708" ht="15.75" customHeight="1">
      <c r="B708" s="114"/>
    </row>
    <row r="709" ht="15.75" customHeight="1">
      <c r="B709" s="114"/>
    </row>
    <row r="710" ht="15.75" customHeight="1">
      <c r="B710" s="114"/>
    </row>
    <row r="711" ht="15.75" customHeight="1">
      <c r="B711" s="114"/>
    </row>
    <row r="712" ht="15.75" customHeight="1">
      <c r="B712" s="114"/>
    </row>
    <row r="713" ht="15.75" customHeight="1">
      <c r="B713" s="114"/>
    </row>
    <row r="714" ht="15.75" customHeight="1">
      <c r="B714" s="114"/>
    </row>
    <row r="715" ht="15.75" customHeight="1">
      <c r="B715" s="114"/>
    </row>
    <row r="716" ht="15.75" customHeight="1">
      <c r="B716" s="114"/>
    </row>
    <row r="717" ht="15.75" customHeight="1">
      <c r="B717" s="114"/>
    </row>
    <row r="718" ht="15.75" customHeight="1">
      <c r="B718" s="114"/>
    </row>
    <row r="719" ht="15.75" customHeight="1">
      <c r="B719" s="114"/>
    </row>
    <row r="720" ht="15.75" customHeight="1">
      <c r="B720" s="114"/>
    </row>
    <row r="721" ht="15.75" customHeight="1">
      <c r="B721" s="114"/>
    </row>
    <row r="722" ht="15.75" customHeight="1">
      <c r="B722" s="114"/>
    </row>
    <row r="723" ht="15.75" customHeight="1">
      <c r="B723" s="114"/>
    </row>
    <row r="724" ht="15.75" customHeight="1">
      <c r="B724" s="114"/>
    </row>
    <row r="725" ht="15.75" customHeight="1">
      <c r="B725" s="114"/>
    </row>
    <row r="726" ht="15.75" customHeight="1">
      <c r="B726" s="114"/>
    </row>
    <row r="727" ht="15.75" customHeight="1">
      <c r="B727" s="114"/>
    </row>
    <row r="728" ht="15.75" customHeight="1">
      <c r="B728" s="114"/>
    </row>
    <row r="729" ht="15.75" customHeight="1">
      <c r="B729" s="114"/>
    </row>
    <row r="730" ht="15.75" customHeight="1">
      <c r="B730" s="114"/>
    </row>
    <row r="731" ht="15.75" customHeight="1">
      <c r="B731" s="114"/>
    </row>
    <row r="732" ht="15.75" customHeight="1">
      <c r="B732" s="114"/>
    </row>
    <row r="733" ht="15.75" customHeight="1">
      <c r="B733" s="114"/>
    </row>
    <row r="734" ht="15.75" customHeight="1">
      <c r="B734" s="114"/>
    </row>
    <row r="735" ht="15.75" customHeight="1">
      <c r="B735" s="114"/>
    </row>
    <row r="736" ht="15.75" customHeight="1">
      <c r="B736" s="114"/>
    </row>
    <row r="737" ht="15.75" customHeight="1">
      <c r="B737" s="114"/>
    </row>
    <row r="738" ht="15.75" customHeight="1">
      <c r="B738" s="114"/>
    </row>
    <row r="739" ht="15.75" customHeight="1">
      <c r="B739" s="114"/>
    </row>
    <row r="740" ht="15.75" customHeight="1">
      <c r="B740" s="114"/>
    </row>
    <row r="741" ht="15.75" customHeight="1">
      <c r="B741" s="114"/>
    </row>
    <row r="742" ht="15.75" customHeight="1">
      <c r="B742" s="114"/>
    </row>
    <row r="743" ht="15.75" customHeight="1">
      <c r="B743" s="114"/>
    </row>
    <row r="744" ht="15.75" customHeight="1">
      <c r="B744" s="114"/>
    </row>
    <row r="745" ht="15.75" customHeight="1">
      <c r="B745" s="114"/>
    </row>
    <row r="746" ht="15.75" customHeight="1">
      <c r="B746" s="114"/>
    </row>
    <row r="747" ht="15.75" customHeight="1">
      <c r="B747" s="114"/>
    </row>
    <row r="748" ht="15.75" customHeight="1">
      <c r="B748" s="114"/>
    </row>
    <row r="749" ht="15.75" customHeight="1">
      <c r="B749" s="114"/>
    </row>
    <row r="750" ht="15.75" customHeight="1">
      <c r="B750" s="114"/>
    </row>
    <row r="751" ht="15.75" customHeight="1">
      <c r="B751" s="114"/>
    </row>
    <row r="752" ht="15.75" customHeight="1">
      <c r="B752" s="114"/>
    </row>
    <row r="753" ht="15.75" customHeight="1">
      <c r="B753" s="114"/>
    </row>
    <row r="754" ht="15.75" customHeight="1">
      <c r="B754" s="114"/>
    </row>
    <row r="755" ht="15.75" customHeight="1">
      <c r="B755" s="114"/>
    </row>
    <row r="756" ht="15.75" customHeight="1">
      <c r="B756" s="114"/>
    </row>
    <row r="757" ht="15.75" customHeight="1">
      <c r="B757" s="114"/>
    </row>
    <row r="758" ht="15.75" customHeight="1">
      <c r="B758" s="114"/>
    </row>
    <row r="759" ht="15.75" customHeight="1">
      <c r="B759" s="114"/>
    </row>
    <row r="760" ht="15.75" customHeight="1">
      <c r="B760" s="114"/>
    </row>
    <row r="761" ht="15.75" customHeight="1">
      <c r="B761" s="114"/>
    </row>
    <row r="762" ht="15.75" customHeight="1">
      <c r="B762" s="114"/>
    </row>
    <row r="763" ht="15.75" customHeight="1">
      <c r="B763" s="114"/>
    </row>
    <row r="764" ht="15.75" customHeight="1">
      <c r="B764" s="114"/>
    </row>
    <row r="765" ht="15.75" customHeight="1">
      <c r="B765" s="114"/>
    </row>
    <row r="766" ht="15.75" customHeight="1">
      <c r="B766" s="114"/>
    </row>
    <row r="767" ht="15.75" customHeight="1">
      <c r="B767" s="114"/>
    </row>
    <row r="768" ht="15.75" customHeight="1">
      <c r="B768" s="114"/>
    </row>
    <row r="769" ht="15.75" customHeight="1">
      <c r="B769" s="114"/>
    </row>
    <row r="770" ht="15.75" customHeight="1">
      <c r="B770" s="114"/>
    </row>
    <row r="771" ht="15.75" customHeight="1">
      <c r="B771" s="114"/>
    </row>
    <row r="772" ht="15.75" customHeight="1">
      <c r="B772" s="114"/>
    </row>
    <row r="773" ht="15.75" customHeight="1">
      <c r="B773" s="114"/>
    </row>
    <row r="774" ht="15.75" customHeight="1">
      <c r="B774" s="114"/>
    </row>
    <row r="775" ht="15.75" customHeight="1">
      <c r="B775" s="114"/>
    </row>
    <row r="776" ht="15.75" customHeight="1">
      <c r="B776" s="114"/>
    </row>
    <row r="777" ht="15.75" customHeight="1">
      <c r="B777" s="114"/>
    </row>
    <row r="778" ht="15.75" customHeight="1">
      <c r="B778" s="114"/>
    </row>
    <row r="779" ht="15.75" customHeight="1">
      <c r="B779" s="114"/>
    </row>
    <row r="780" ht="15.75" customHeight="1">
      <c r="B780" s="114"/>
    </row>
    <row r="781" ht="15.75" customHeight="1">
      <c r="B781" s="114"/>
    </row>
    <row r="782" ht="15.75" customHeight="1">
      <c r="B782" s="114"/>
    </row>
    <row r="783" ht="15.75" customHeight="1">
      <c r="B783" s="114"/>
    </row>
    <row r="784" ht="15.75" customHeight="1">
      <c r="B784" s="114"/>
    </row>
    <row r="785" ht="15.75" customHeight="1">
      <c r="B785" s="114"/>
    </row>
    <row r="786" ht="15.75" customHeight="1">
      <c r="B786" s="114"/>
    </row>
    <row r="787" ht="15.75" customHeight="1">
      <c r="B787" s="114"/>
    </row>
    <row r="788" ht="15.75" customHeight="1">
      <c r="B788" s="114"/>
    </row>
    <row r="789" ht="15.75" customHeight="1">
      <c r="B789" s="114"/>
    </row>
    <row r="790" ht="15.75" customHeight="1">
      <c r="B790" s="114"/>
    </row>
    <row r="791" ht="15.75" customHeight="1">
      <c r="B791" s="114"/>
    </row>
    <row r="792" ht="15.75" customHeight="1">
      <c r="B792" s="114"/>
    </row>
    <row r="793" ht="15.75" customHeight="1">
      <c r="B793" s="114"/>
    </row>
    <row r="794" ht="15.75" customHeight="1">
      <c r="B794" s="114"/>
    </row>
    <row r="795" ht="15.75" customHeight="1">
      <c r="B795" s="114"/>
    </row>
    <row r="796" ht="15.75" customHeight="1">
      <c r="B796" s="114"/>
    </row>
    <row r="797" ht="15.75" customHeight="1">
      <c r="B797" s="114"/>
    </row>
    <row r="798" ht="15.75" customHeight="1">
      <c r="B798" s="114"/>
    </row>
    <row r="799" ht="15.75" customHeight="1">
      <c r="B799" s="114"/>
    </row>
    <row r="800" ht="15.75" customHeight="1">
      <c r="B800" s="114"/>
    </row>
    <row r="801" ht="15.75" customHeight="1">
      <c r="B801" s="114"/>
    </row>
    <row r="802" ht="15.75" customHeight="1">
      <c r="B802" s="114"/>
    </row>
    <row r="803" ht="15.75" customHeight="1">
      <c r="B803" s="114"/>
    </row>
    <row r="804" ht="15.75" customHeight="1">
      <c r="B804" s="114"/>
    </row>
    <row r="805" ht="15.75" customHeight="1">
      <c r="B805" s="114"/>
    </row>
    <row r="806" ht="15.75" customHeight="1">
      <c r="B806" s="114"/>
    </row>
    <row r="807" ht="15.75" customHeight="1">
      <c r="B807" s="114"/>
    </row>
    <row r="808" ht="15.75" customHeight="1">
      <c r="B808" s="114"/>
    </row>
    <row r="809" ht="15.75" customHeight="1">
      <c r="B809" s="114"/>
    </row>
    <row r="810" ht="15.75" customHeight="1">
      <c r="B810" s="114"/>
    </row>
    <row r="811" ht="15.75" customHeight="1">
      <c r="B811" s="114"/>
    </row>
    <row r="812" ht="15.75" customHeight="1">
      <c r="B812" s="114"/>
    </row>
    <row r="813" ht="15.75" customHeight="1">
      <c r="B813" s="114"/>
    </row>
    <row r="814" ht="15.75" customHeight="1">
      <c r="B814" s="114"/>
    </row>
    <row r="815" ht="15.75" customHeight="1">
      <c r="B815" s="114"/>
    </row>
    <row r="816" ht="15.75" customHeight="1">
      <c r="B816" s="114"/>
    </row>
    <row r="817" ht="15.75" customHeight="1">
      <c r="B817" s="114"/>
    </row>
    <row r="818" ht="15.75" customHeight="1">
      <c r="B818" s="114"/>
    </row>
    <row r="819" ht="15.75" customHeight="1">
      <c r="B819" s="114"/>
    </row>
    <row r="820" ht="15.75" customHeight="1">
      <c r="B820" s="114"/>
    </row>
    <row r="821" ht="15.75" customHeight="1">
      <c r="B821" s="114"/>
    </row>
    <row r="822" ht="15.75" customHeight="1">
      <c r="B822" s="114"/>
    </row>
    <row r="823" ht="15.75" customHeight="1">
      <c r="B823" s="114"/>
    </row>
    <row r="824" ht="15.75" customHeight="1">
      <c r="B824" s="114"/>
    </row>
    <row r="825" ht="15.75" customHeight="1">
      <c r="B825" s="114"/>
    </row>
    <row r="826" ht="15.75" customHeight="1">
      <c r="B826" s="114"/>
    </row>
    <row r="827" ht="15.75" customHeight="1">
      <c r="B827" s="114"/>
    </row>
    <row r="828" ht="15.75" customHeight="1">
      <c r="B828" s="114"/>
    </row>
    <row r="829" ht="15.75" customHeight="1">
      <c r="B829" s="114"/>
    </row>
    <row r="830" ht="15.75" customHeight="1">
      <c r="B830" s="114"/>
    </row>
    <row r="831" ht="15.75" customHeight="1">
      <c r="B831" s="114"/>
    </row>
    <row r="832" ht="15.75" customHeight="1">
      <c r="B832" s="114"/>
    </row>
    <row r="833" ht="15.75" customHeight="1">
      <c r="B833" s="114"/>
    </row>
    <row r="834" ht="15.75" customHeight="1">
      <c r="B834" s="114"/>
    </row>
    <row r="835" ht="15.75" customHeight="1">
      <c r="B835" s="114"/>
    </row>
    <row r="836" ht="15.75" customHeight="1">
      <c r="B836" s="114"/>
    </row>
    <row r="837" ht="15.75" customHeight="1">
      <c r="B837" s="114"/>
    </row>
    <row r="838" ht="15.75" customHeight="1">
      <c r="B838" s="114"/>
    </row>
    <row r="839" ht="15.75" customHeight="1">
      <c r="B839" s="114"/>
    </row>
    <row r="840" ht="15.75" customHeight="1">
      <c r="B840" s="114"/>
    </row>
    <row r="841" ht="15.75" customHeight="1">
      <c r="B841" s="114"/>
    </row>
    <row r="842" ht="15.75" customHeight="1">
      <c r="B842" s="114"/>
    </row>
    <row r="843" ht="15.75" customHeight="1">
      <c r="B843" s="114"/>
    </row>
    <row r="844" ht="15.75" customHeight="1">
      <c r="B844" s="114"/>
    </row>
    <row r="845" ht="15.75" customHeight="1">
      <c r="B845" s="114"/>
    </row>
    <row r="846" ht="15.75" customHeight="1">
      <c r="B846" s="114"/>
    </row>
    <row r="847" ht="15.75" customHeight="1">
      <c r="B847" s="114"/>
    </row>
    <row r="848" ht="15.75" customHeight="1">
      <c r="B848" s="114"/>
    </row>
    <row r="849" ht="15.75" customHeight="1">
      <c r="B849" s="114"/>
    </row>
    <row r="850" ht="15.75" customHeight="1">
      <c r="B850" s="114"/>
    </row>
    <row r="851" ht="15.75" customHeight="1">
      <c r="B851" s="114"/>
    </row>
    <row r="852" ht="15.75" customHeight="1">
      <c r="B852" s="114"/>
    </row>
    <row r="853" ht="15.75" customHeight="1">
      <c r="B853" s="114"/>
    </row>
    <row r="854" ht="15.75" customHeight="1">
      <c r="B854" s="114"/>
    </row>
    <row r="855" ht="15.75" customHeight="1">
      <c r="B855" s="114"/>
    </row>
    <row r="856" ht="15.75" customHeight="1">
      <c r="B856" s="114"/>
    </row>
    <row r="857" ht="15.75" customHeight="1">
      <c r="B857" s="114"/>
    </row>
    <row r="858" ht="15.75" customHeight="1">
      <c r="B858" s="114"/>
    </row>
    <row r="859" ht="15.75" customHeight="1">
      <c r="B859" s="114"/>
    </row>
    <row r="860" ht="15.75" customHeight="1">
      <c r="B860" s="114"/>
    </row>
    <row r="861" ht="15.75" customHeight="1">
      <c r="B861" s="114"/>
    </row>
    <row r="862" ht="15.75" customHeight="1">
      <c r="B862" s="114"/>
    </row>
    <row r="863" ht="15.75" customHeight="1">
      <c r="B863" s="114"/>
    </row>
    <row r="864" ht="15.75" customHeight="1">
      <c r="B864" s="114"/>
    </row>
    <row r="865" ht="15.75" customHeight="1">
      <c r="B865" s="114"/>
    </row>
    <row r="866" ht="15.75" customHeight="1">
      <c r="B866" s="114"/>
    </row>
    <row r="867" ht="15.75" customHeight="1">
      <c r="B867" s="114"/>
    </row>
    <row r="868" ht="15.75" customHeight="1">
      <c r="B868" s="114"/>
    </row>
    <row r="869" ht="15.75" customHeight="1">
      <c r="B869" s="114"/>
    </row>
    <row r="870" ht="15.75" customHeight="1">
      <c r="B870" s="114"/>
    </row>
    <row r="871" ht="15.75" customHeight="1">
      <c r="B871" s="114"/>
    </row>
    <row r="872" ht="15.75" customHeight="1">
      <c r="B872" s="114"/>
    </row>
    <row r="873" ht="15.75" customHeight="1">
      <c r="B873" s="114"/>
    </row>
    <row r="874" ht="15.75" customHeight="1">
      <c r="B874" s="114"/>
    </row>
    <row r="875" ht="15.75" customHeight="1">
      <c r="B875" s="114"/>
    </row>
    <row r="876" ht="15.75" customHeight="1">
      <c r="B876" s="114"/>
    </row>
    <row r="877" ht="15.75" customHeight="1">
      <c r="B877" s="114"/>
    </row>
    <row r="878" ht="15.75" customHeight="1">
      <c r="B878" s="114"/>
    </row>
    <row r="879" ht="15.75" customHeight="1">
      <c r="B879" s="114"/>
    </row>
    <row r="880" ht="15.75" customHeight="1">
      <c r="B880" s="114"/>
    </row>
    <row r="881" ht="15.75" customHeight="1">
      <c r="B881" s="114"/>
    </row>
    <row r="882" ht="15.75" customHeight="1">
      <c r="B882" s="114"/>
    </row>
    <row r="883" ht="15.75" customHeight="1">
      <c r="B883" s="114"/>
    </row>
    <row r="884" ht="15.75" customHeight="1">
      <c r="B884" s="114"/>
    </row>
    <row r="885" ht="15.75" customHeight="1">
      <c r="B885" s="114"/>
    </row>
    <row r="886" ht="15.75" customHeight="1">
      <c r="B886" s="114"/>
    </row>
    <row r="887" ht="15.75" customHeight="1">
      <c r="B887" s="114"/>
    </row>
    <row r="888" ht="15.75" customHeight="1">
      <c r="B888" s="114"/>
    </row>
    <row r="889" ht="15.75" customHeight="1">
      <c r="B889" s="114"/>
    </row>
    <row r="890" ht="15.75" customHeight="1">
      <c r="B890" s="114"/>
    </row>
    <row r="891" ht="15.75" customHeight="1">
      <c r="B891" s="114"/>
    </row>
    <row r="892" ht="15.75" customHeight="1">
      <c r="B892" s="114"/>
    </row>
    <row r="893" ht="15.75" customHeight="1">
      <c r="B893" s="114"/>
    </row>
    <row r="894" ht="15.75" customHeight="1">
      <c r="B894" s="114"/>
    </row>
    <row r="895" ht="15.75" customHeight="1">
      <c r="B895" s="114"/>
    </row>
    <row r="896" ht="15.75" customHeight="1">
      <c r="B896" s="114"/>
    </row>
    <row r="897" ht="15.75" customHeight="1">
      <c r="B897" s="114"/>
    </row>
    <row r="898" ht="15.75" customHeight="1">
      <c r="B898" s="114"/>
    </row>
    <row r="899" ht="15.75" customHeight="1">
      <c r="B899" s="114"/>
    </row>
    <row r="900" ht="15.75" customHeight="1">
      <c r="B900" s="114"/>
    </row>
    <row r="901" ht="15.75" customHeight="1">
      <c r="B901" s="114"/>
    </row>
    <row r="902" ht="15.75" customHeight="1">
      <c r="B902" s="114"/>
    </row>
    <row r="903" ht="15.75" customHeight="1">
      <c r="B903" s="114"/>
    </row>
    <row r="904" ht="15.75" customHeight="1">
      <c r="B904" s="114"/>
    </row>
    <row r="905" ht="15.75" customHeight="1">
      <c r="B905" s="114"/>
    </row>
    <row r="906" ht="15.75" customHeight="1">
      <c r="B906" s="114"/>
    </row>
    <row r="907" ht="15.75" customHeight="1">
      <c r="B907" s="114"/>
    </row>
    <row r="908" ht="15.75" customHeight="1">
      <c r="B908" s="114"/>
    </row>
    <row r="909" ht="15.75" customHeight="1">
      <c r="B909" s="114"/>
    </row>
    <row r="910" ht="15.75" customHeight="1">
      <c r="B910" s="114"/>
    </row>
    <row r="911" ht="15.75" customHeight="1">
      <c r="B911" s="114"/>
    </row>
    <row r="912" ht="15.75" customHeight="1">
      <c r="B912" s="114"/>
    </row>
    <row r="913" ht="15.75" customHeight="1">
      <c r="B913" s="114"/>
    </row>
    <row r="914" ht="15.75" customHeight="1">
      <c r="B914" s="114"/>
    </row>
    <row r="915" ht="15.75" customHeight="1">
      <c r="B915" s="114"/>
    </row>
    <row r="916" ht="15.75" customHeight="1">
      <c r="B916" s="114"/>
    </row>
    <row r="917" ht="15.75" customHeight="1">
      <c r="B917" s="114"/>
    </row>
    <row r="918" ht="15.75" customHeight="1">
      <c r="B918" s="114"/>
    </row>
    <row r="919" ht="15.75" customHeight="1">
      <c r="B919" s="114"/>
    </row>
    <row r="920" ht="15.75" customHeight="1">
      <c r="B920" s="114"/>
    </row>
    <row r="921" ht="15.75" customHeight="1">
      <c r="B921" s="114"/>
    </row>
    <row r="922" ht="15.75" customHeight="1">
      <c r="B922" s="114"/>
    </row>
    <row r="923" ht="15.75" customHeight="1">
      <c r="B923" s="114"/>
    </row>
    <row r="924" ht="15.75" customHeight="1">
      <c r="B924" s="114"/>
    </row>
    <row r="925" ht="15.75" customHeight="1">
      <c r="B925" s="114"/>
    </row>
    <row r="926" ht="15.75" customHeight="1">
      <c r="B926" s="114"/>
    </row>
    <row r="927" ht="15.75" customHeight="1">
      <c r="B927" s="114"/>
    </row>
    <row r="928" ht="15.75" customHeight="1">
      <c r="B928" s="114"/>
    </row>
    <row r="929" ht="15.75" customHeight="1">
      <c r="B929" s="114"/>
    </row>
    <row r="930" ht="15.75" customHeight="1">
      <c r="B930" s="114"/>
    </row>
    <row r="931" ht="15.75" customHeight="1">
      <c r="B931" s="114"/>
    </row>
    <row r="932" ht="15.75" customHeight="1">
      <c r="B932" s="114"/>
    </row>
    <row r="933" ht="15.75" customHeight="1">
      <c r="B933" s="114"/>
    </row>
    <row r="934" ht="15.75" customHeight="1">
      <c r="B934" s="114"/>
    </row>
    <row r="935" ht="15.75" customHeight="1">
      <c r="B935" s="114"/>
    </row>
    <row r="936" ht="15.75" customHeight="1">
      <c r="B936" s="114"/>
    </row>
    <row r="937" ht="15.75" customHeight="1">
      <c r="B937" s="114"/>
    </row>
    <row r="938" ht="15.75" customHeight="1">
      <c r="B938" s="114"/>
    </row>
    <row r="939" ht="15.75" customHeight="1">
      <c r="B939" s="114"/>
    </row>
    <row r="940" ht="15.75" customHeight="1">
      <c r="B940" s="114"/>
    </row>
    <row r="941" ht="15.75" customHeight="1">
      <c r="B941" s="114"/>
    </row>
    <row r="942" ht="15.75" customHeight="1">
      <c r="B942" s="114"/>
    </row>
    <row r="943" ht="15.75" customHeight="1">
      <c r="B943" s="114"/>
    </row>
    <row r="944" ht="15.75" customHeight="1">
      <c r="B944" s="114"/>
    </row>
    <row r="945" ht="15.75" customHeight="1">
      <c r="B945" s="114"/>
    </row>
    <row r="946" ht="15.75" customHeight="1">
      <c r="B946" s="114"/>
    </row>
    <row r="947" ht="15.75" customHeight="1">
      <c r="B947" s="114"/>
    </row>
    <row r="948" ht="15.75" customHeight="1">
      <c r="B948" s="114"/>
    </row>
    <row r="949" ht="15.75" customHeight="1">
      <c r="B949" s="114"/>
    </row>
    <row r="950" ht="15.75" customHeight="1">
      <c r="B950" s="114"/>
    </row>
    <row r="951" ht="15.75" customHeight="1">
      <c r="B951" s="114"/>
    </row>
    <row r="952" ht="15.75" customHeight="1">
      <c r="B952" s="114"/>
    </row>
    <row r="953" ht="15.75" customHeight="1">
      <c r="B953" s="114"/>
    </row>
    <row r="954" ht="15.75" customHeight="1">
      <c r="B954" s="114"/>
    </row>
    <row r="955" ht="15.75" customHeight="1">
      <c r="B955" s="114"/>
    </row>
    <row r="956" ht="15.75" customHeight="1">
      <c r="B956" s="114"/>
    </row>
    <row r="957" ht="15.75" customHeight="1">
      <c r="B957" s="114"/>
    </row>
    <row r="958" ht="15.75" customHeight="1">
      <c r="B958" s="114"/>
    </row>
    <row r="959" ht="15.75" customHeight="1">
      <c r="B959" s="114"/>
    </row>
    <row r="960" ht="15.75" customHeight="1">
      <c r="B960" s="114"/>
    </row>
    <row r="961" ht="15.75" customHeight="1">
      <c r="B961" s="114"/>
    </row>
    <row r="962" ht="15.75" customHeight="1">
      <c r="B962" s="114"/>
    </row>
    <row r="963" ht="15.75" customHeight="1">
      <c r="B963" s="114"/>
    </row>
    <row r="964" ht="15.75" customHeight="1">
      <c r="B964" s="114"/>
    </row>
    <row r="965" ht="15.75" customHeight="1">
      <c r="B965" s="114"/>
    </row>
    <row r="966" ht="15.75" customHeight="1">
      <c r="B966" s="114"/>
    </row>
    <row r="967" ht="15.75" customHeight="1">
      <c r="B967" s="114"/>
    </row>
    <row r="968" ht="15.75" customHeight="1">
      <c r="B968" s="114"/>
    </row>
    <row r="969" ht="15.75" customHeight="1">
      <c r="B969" s="114"/>
    </row>
    <row r="970" ht="15.75" customHeight="1">
      <c r="B970" s="114"/>
    </row>
    <row r="971" ht="15.75" customHeight="1">
      <c r="B971" s="114"/>
    </row>
    <row r="972" ht="15.75" customHeight="1">
      <c r="B972" s="114"/>
    </row>
    <row r="973" ht="15.75" customHeight="1">
      <c r="B973" s="114"/>
    </row>
    <row r="974" ht="15.75" customHeight="1">
      <c r="B974" s="114"/>
    </row>
    <row r="975" ht="15.75" customHeight="1">
      <c r="B975" s="114"/>
    </row>
    <row r="976" ht="15.75" customHeight="1">
      <c r="B976" s="114"/>
    </row>
    <row r="977" ht="15.75" customHeight="1">
      <c r="B977" s="114"/>
    </row>
    <row r="978" ht="15.75" customHeight="1">
      <c r="B978" s="114"/>
    </row>
    <row r="979" ht="15.75" customHeight="1">
      <c r="B979" s="114"/>
    </row>
    <row r="980" ht="15.75" customHeight="1">
      <c r="B980" s="114"/>
    </row>
    <row r="981" ht="15.75" customHeight="1">
      <c r="B981" s="114"/>
    </row>
    <row r="982" ht="15.75" customHeight="1">
      <c r="B982" s="114"/>
    </row>
    <row r="983" ht="15.75" customHeight="1">
      <c r="B983" s="114"/>
    </row>
    <row r="984" ht="15.75" customHeight="1">
      <c r="B984" s="114"/>
    </row>
    <row r="985" ht="15.75" customHeight="1">
      <c r="B985" s="114"/>
    </row>
    <row r="986" ht="15.75" customHeight="1">
      <c r="B986" s="114"/>
    </row>
    <row r="987" ht="15.75" customHeight="1">
      <c r="B987" s="114"/>
    </row>
    <row r="988" ht="15.75" customHeight="1">
      <c r="B988" s="114"/>
    </row>
    <row r="989" ht="15.75" customHeight="1">
      <c r="B989" s="114"/>
    </row>
    <row r="990" ht="15.75" customHeight="1">
      <c r="B990" s="114"/>
    </row>
    <row r="991" ht="15.75" customHeight="1">
      <c r="B991" s="114"/>
    </row>
    <row r="992" ht="15.75" customHeight="1">
      <c r="B992" s="114"/>
    </row>
    <row r="993" ht="15.75" customHeight="1">
      <c r="B993" s="114"/>
    </row>
    <row r="994" ht="15.75" customHeight="1">
      <c r="B994" s="114"/>
    </row>
    <row r="995" ht="15.75" customHeight="1">
      <c r="B995" s="114"/>
    </row>
    <row r="996" ht="15.75" customHeight="1">
      <c r="B996" s="114"/>
    </row>
    <row r="997" ht="15.75" customHeight="1">
      <c r="B997" s="114"/>
    </row>
    <row r="998" ht="15.75" customHeight="1">
      <c r="B998" s="114"/>
    </row>
    <row r="999" ht="15.75" customHeight="1">
      <c r="B999" s="114"/>
    </row>
    <row r="1000" ht="15.75" customHeight="1">
      <c r="B1000" s="114"/>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32.0"/>
    <col customWidth="1" min="2" max="2" width="38.0"/>
    <col customWidth="1" hidden="1" min="3" max="3" width="11.57"/>
    <col customWidth="1" min="4" max="5" width="11.0"/>
    <col customWidth="1" min="6" max="6" width="18.0"/>
    <col customWidth="1" min="7" max="8" width="11.0"/>
    <col customWidth="1" min="9" max="9" width="18.0"/>
    <col customWidth="1" min="10" max="11" width="11.0"/>
    <col customWidth="1" min="12" max="12" width="18.0"/>
    <col customWidth="1" min="13" max="14" width="11.0"/>
    <col customWidth="1" min="15" max="15" width="18.0"/>
    <col customWidth="1" min="16" max="16" width="40.0"/>
    <col customWidth="1" hidden="1" min="17" max="24" width="13.0"/>
    <col customWidth="1" hidden="1" min="25" max="25" width="24.0"/>
    <col customWidth="1" hidden="1" min="26" max="37" width="13.0"/>
    <col customWidth="1" hidden="1" min="38" max="38" width="22.0"/>
    <col customWidth="1" hidden="1" min="39" max="40" width="14.0"/>
    <col customWidth="1" hidden="1" min="41" max="41" width="40.0"/>
    <col customWidth="1" hidden="1" min="42" max="49" width="13.0"/>
  </cols>
  <sheetData>
    <row r="1" ht="31.5" customHeight="1">
      <c r="A1" s="115" t="s">
        <v>557</v>
      </c>
      <c r="B1" s="28"/>
      <c r="C1" s="28"/>
      <c r="D1" s="28"/>
      <c r="E1" s="28"/>
      <c r="F1" s="28"/>
      <c r="G1" s="28"/>
      <c r="H1" s="28"/>
      <c r="I1" s="28"/>
      <c r="J1" s="28"/>
      <c r="K1" s="28"/>
      <c r="L1" s="28"/>
      <c r="M1" s="28"/>
      <c r="N1" s="28"/>
      <c r="O1" s="28"/>
      <c r="P1" s="29"/>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row>
    <row r="2" ht="15.0" hidden="1" customHeight="1">
      <c r="A2" s="117"/>
      <c r="B2" s="118"/>
      <c r="C2" s="119"/>
      <c r="D2" s="118"/>
      <c r="E2" s="118"/>
      <c r="F2" s="118"/>
      <c r="G2" s="118"/>
      <c r="H2" s="118"/>
      <c r="I2" s="118"/>
      <c r="J2" s="118"/>
      <c r="K2" s="118"/>
      <c r="L2" s="118"/>
      <c r="M2" s="118"/>
      <c r="N2" s="118"/>
      <c r="O2" s="118"/>
      <c r="P2" s="118"/>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row>
    <row r="3" ht="15.0" hidden="1" customHeight="1">
      <c r="A3" s="117"/>
      <c r="B3" s="118"/>
      <c r="C3" s="119"/>
      <c r="D3" s="118"/>
      <c r="E3" s="118"/>
      <c r="F3" s="118"/>
      <c r="G3" s="118"/>
      <c r="H3" s="118"/>
      <c r="I3" s="118"/>
      <c r="J3" s="118"/>
      <c r="K3" s="118"/>
      <c r="L3" s="118"/>
      <c r="M3" s="118"/>
      <c r="N3" s="118"/>
      <c r="O3" s="118"/>
      <c r="P3" s="118"/>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row>
    <row r="4" ht="15.0" hidden="1" customHeight="1">
      <c r="A4" s="120"/>
      <c r="B4" s="120"/>
      <c r="C4" s="119"/>
      <c r="D4" s="121"/>
      <c r="E4" s="121"/>
      <c r="F4" s="121"/>
      <c r="G4" s="121"/>
      <c r="H4" s="121"/>
      <c r="I4" s="121"/>
      <c r="J4" s="121"/>
      <c r="K4" s="121"/>
      <c r="L4" s="121"/>
      <c r="M4" s="121"/>
      <c r="N4" s="121"/>
      <c r="O4" s="121"/>
      <c r="P4" s="120"/>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row>
    <row r="5" ht="21.75" customHeight="1">
      <c r="A5" s="122" t="s">
        <v>558</v>
      </c>
      <c r="B5" s="28"/>
      <c r="C5" s="28"/>
      <c r="D5" s="28"/>
      <c r="E5" s="28"/>
      <c r="F5" s="28"/>
      <c r="G5" s="28"/>
      <c r="H5" s="28"/>
      <c r="I5" s="28"/>
      <c r="J5" s="28"/>
      <c r="K5" s="28"/>
      <c r="L5" s="28"/>
      <c r="M5" s="28"/>
      <c r="N5" s="28"/>
      <c r="O5" s="28"/>
      <c r="P5" s="29"/>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row>
    <row r="6" ht="21.75" customHeight="1">
      <c r="A6" s="123" t="s">
        <v>559</v>
      </c>
      <c r="B6" s="123" t="s">
        <v>560</v>
      </c>
      <c r="C6" s="124"/>
      <c r="D6" s="125" t="s">
        <v>561</v>
      </c>
      <c r="E6" s="28"/>
      <c r="F6" s="126"/>
      <c r="G6" s="125" t="s">
        <v>562</v>
      </c>
      <c r="H6" s="28"/>
      <c r="I6" s="126"/>
      <c r="J6" s="125" t="s">
        <v>563</v>
      </c>
      <c r="K6" s="28"/>
      <c r="L6" s="126"/>
      <c r="M6" s="125" t="s">
        <v>564</v>
      </c>
      <c r="N6" s="28"/>
      <c r="O6" s="126"/>
      <c r="P6" s="123" t="s">
        <v>565</v>
      </c>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row>
    <row r="7" ht="18.0" customHeight="1">
      <c r="A7" s="127"/>
      <c r="B7" s="127"/>
      <c r="C7" s="124"/>
      <c r="D7" s="124" t="s">
        <v>566</v>
      </c>
      <c r="E7" s="124" t="s">
        <v>567</v>
      </c>
      <c r="F7" s="128" t="s">
        <v>568</v>
      </c>
      <c r="G7" s="124" t="s">
        <v>566</v>
      </c>
      <c r="H7" s="124" t="s">
        <v>567</v>
      </c>
      <c r="I7" s="128" t="s">
        <v>568</v>
      </c>
      <c r="J7" s="124" t="s">
        <v>566</v>
      </c>
      <c r="K7" s="124" t="s">
        <v>567</v>
      </c>
      <c r="L7" s="128" t="s">
        <v>568</v>
      </c>
      <c r="M7" s="124" t="s">
        <v>566</v>
      </c>
      <c r="N7" s="124" t="s">
        <v>567</v>
      </c>
      <c r="O7" s="128" t="s">
        <v>568</v>
      </c>
      <c r="P7" s="127"/>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row>
    <row r="8" ht="42.0" customHeight="1">
      <c r="A8" s="44" t="s">
        <v>569</v>
      </c>
      <c r="B8" s="45" t="s">
        <v>570</v>
      </c>
      <c r="C8" s="45"/>
      <c r="D8" s="129">
        <f>IFERROR(AVERAGE($E$75:$E$94),"")</f>
        <v>35154.704</v>
      </c>
      <c r="E8" s="129">
        <f>IFERROR(__xludf.DUMMYFUNCTION("IFERROR(MEDIAN(FILTER($E$75:$E$94,ISNUMBER($E$75:$E$94))),"""")"),32291.73)</f>
        <v>32291.73</v>
      </c>
      <c r="F8" s="130" t="s">
        <v>571</v>
      </c>
      <c r="G8" s="129">
        <f>IFERROR(AVERAGEIFS($E$75:$E$94,$B$75:$B$94,"Mothership"),"")</f>
        <v>57048.512</v>
      </c>
      <c r="H8" s="129">
        <f>IFERROR(__xludf.DUMMYFUNCTION("IFERROR(MEDIAN(FILTER($E$75:$E$94,$B$75:$B$94=""Mothership"",ISNUMBER($E$75:$E$94))),"""")"),53820.0)</f>
        <v>53820</v>
      </c>
      <c r="I8" s="130" t="s">
        <v>572</v>
      </c>
      <c r="J8" s="129">
        <f>IFERROR(AVERAGEIFS($E$75:$E$94,$B$75:$B$94,"Embedded"),"")</f>
        <v>25884.75</v>
      </c>
      <c r="K8" s="129">
        <f>IFERROR(__xludf.DUMMYFUNCTION("IFERROR(MEDIAN(FILTER($E$75:$E$94,$B$75:$B$94=""Embedded"",ISNUMBER($E$75:$E$94))),"""")"),26955.0)</f>
        <v>26955</v>
      </c>
      <c r="L8" s="130" t="s">
        <v>573</v>
      </c>
      <c r="M8" s="129">
        <f>IFERROR(AVERAGEIFS($E$75:$E$94,$D$75:$D$94,1),"")</f>
        <v>27942</v>
      </c>
      <c r="N8" s="129">
        <f>IFERROR(__xludf.DUMMYFUNCTION("IFERROR(MEDIAN(FILTER($E$75:$E$94,$D$75:$D$94=1,ISNUMBER($E$75:$E$94))),"""")"),26910.0)</f>
        <v>26910</v>
      </c>
      <c r="O8" s="130" t="s">
        <v>574</v>
      </c>
      <c r="P8" s="45" t="s">
        <v>575</v>
      </c>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row>
    <row r="9" ht="42.0" customHeight="1">
      <c r="A9" s="132" t="s">
        <v>576</v>
      </c>
      <c r="B9" s="133" t="s">
        <v>577</v>
      </c>
      <c r="C9" s="133"/>
      <c r="D9" s="134">
        <f>IFERROR(AVERAGE($F$75:$F$94),"")</f>
        <v>33.58823529</v>
      </c>
      <c r="E9" s="134">
        <f>IFERROR(__xludf.DUMMYFUNCTION("IFERROR(MEDIAN(FILTER($F$75:$F$94,ISNUMBER($F$75:$F$94))),"""")"),15.0)</f>
        <v>15</v>
      </c>
      <c r="F9" s="135" t="s">
        <v>578</v>
      </c>
      <c r="G9" s="134">
        <f>IFERROR(AVERAGEIFS($F$75:$F$94,$B$75:$B$94,"Mothership"),"")</f>
        <v>63.71428571</v>
      </c>
      <c r="H9" s="134">
        <f>IFERROR(__xludf.DUMMYFUNCTION("IFERROR(MEDIAN(FILTER($F$75:$F$94,$B$75:$B$94=""Mothership"",ISNUMBER($F$75:$F$94))),"""")"),65.0)</f>
        <v>65</v>
      </c>
      <c r="I9" s="135" t="s">
        <v>579</v>
      </c>
      <c r="J9" s="134">
        <f>IFERROR(AVERAGEIFS($F$75:$F$94,$B$75:$B$94,"Embedded"),"")</f>
        <v>12.42857143</v>
      </c>
      <c r="K9" s="134">
        <f>IFERROR(__xludf.DUMMYFUNCTION("IFERROR(MEDIAN(FILTER($F$75:$F$94,$B$75:$B$94=""Embedded"",ISNUMBER($F$75:$F$94))),"""")"),10.0)</f>
        <v>10</v>
      </c>
      <c r="L9" s="135" t="s">
        <v>580</v>
      </c>
      <c r="M9" s="134">
        <f>IFERROR(AVERAGEIFS($F$75:$F$94,$D$75:$D$94,1),"")</f>
        <v>15.5</v>
      </c>
      <c r="N9" s="134">
        <f>IFERROR(__xludf.DUMMYFUNCTION("IFERROR(MEDIAN(FILTER($F$75:$F$94,$D$75:$D$94=1,ISNUMBER($F$75:$F$94))),"""")"),12.5)</f>
        <v>12.5</v>
      </c>
      <c r="O9" s="135" t="s">
        <v>581</v>
      </c>
      <c r="P9" s="133" t="s">
        <v>582</v>
      </c>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row>
    <row r="10" ht="42.0" customHeight="1">
      <c r="A10" s="44" t="s">
        <v>583</v>
      </c>
      <c r="B10" s="45" t="s">
        <v>584</v>
      </c>
      <c r="C10" s="45"/>
      <c r="D10" s="129">
        <f>IFERROR(AVERAGE($G$75:$G$94),"")</f>
        <v>8.782104696</v>
      </c>
      <c r="E10" s="129">
        <f>IFERROR(__xludf.DUMMYFUNCTION("IFERROR(MEDIAN(FILTER($G$75:$G$94,ISNUMBER($G$75:$G$94))),"""")"),7.07317073170732)</f>
        <v>7.073170732</v>
      </c>
      <c r="F10" s="130" t="s">
        <v>585</v>
      </c>
      <c r="G10" s="129">
        <f>IFERROR(AVERAGEIFS($G$75:$G$94,$B$75:$B$94,"Mothership"),"")</f>
        <v>11.68133986</v>
      </c>
      <c r="H10" s="129">
        <f>IFERROR(__xludf.DUMMYFUNCTION("IFERROR(MEDIAN(FILTER($G$75:$G$94,$B$75:$B$94=""Mothership"",ISNUMBER($G$75:$G$94))),"""")"),10.9797297297297)</f>
        <v>10.97972973</v>
      </c>
      <c r="I10" s="130" t="s">
        <v>586</v>
      </c>
      <c r="J10" s="129">
        <f>IFERROR(AVERAGEIFS($G$75:$G$94,$B$75:$B$94,"Embedded"),"")</f>
        <v>6.260110291</v>
      </c>
      <c r="K10" s="129">
        <f>IFERROR(__xludf.DUMMYFUNCTION("IFERROR(MEDIAN(FILTER($G$75:$G$94,$B$75:$B$94=""Embedded"",ISNUMBER($G$75:$G$94))),"""")"),6.507393292024229)</f>
        <v>6.507393292</v>
      </c>
      <c r="L10" s="130" t="s">
        <v>587</v>
      </c>
      <c r="M10" s="129">
        <f>IFERROR(AVERAGEIFS($G$75:$G$94,$D$75:$D$94,1),"")</f>
        <v>4.663087135</v>
      </c>
      <c r="N10" s="129">
        <f>IFERROR(__xludf.DUMMYFUNCTION("IFERROR(MEDIAN(FILTER($G$75:$G$94,$D$75:$D$94=1,ISNUMBER($G$75:$G$94))),"""")"),3.71609067261241)</f>
        <v>3.716090673</v>
      </c>
      <c r="O10" s="130" t="s">
        <v>588</v>
      </c>
      <c r="P10" s="45" t="s">
        <v>589</v>
      </c>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row>
    <row r="11" ht="7.5" customHeight="1">
      <c r="A11" s="136"/>
      <c r="B11" s="136"/>
      <c r="C11" s="136"/>
      <c r="D11" s="136"/>
      <c r="E11" s="136"/>
      <c r="F11" s="137"/>
      <c r="G11" s="136"/>
      <c r="H11" s="136"/>
      <c r="I11" s="137"/>
      <c r="J11" s="136"/>
      <c r="K11" s="136"/>
      <c r="L11" s="137"/>
      <c r="M11" s="136"/>
      <c r="N11" s="136"/>
      <c r="O11" s="137"/>
      <c r="P11" s="13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row>
    <row r="12" ht="21.75" customHeight="1">
      <c r="A12" s="122" t="s">
        <v>590</v>
      </c>
      <c r="B12" s="28"/>
      <c r="C12" s="28"/>
      <c r="D12" s="28"/>
      <c r="E12" s="28"/>
      <c r="F12" s="28"/>
      <c r="G12" s="28"/>
      <c r="H12" s="28"/>
      <c r="I12" s="28"/>
      <c r="J12" s="28"/>
      <c r="K12" s="28"/>
      <c r="L12" s="28"/>
      <c r="M12" s="28"/>
      <c r="N12" s="28"/>
      <c r="O12" s="28"/>
      <c r="P12" s="29"/>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row>
    <row r="13" ht="21.75" customHeight="1">
      <c r="A13" s="123" t="s">
        <v>559</v>
      </c>
      <c r="B13" s="123" t="s">
        <v>560</v>
      </c>
      <c r="C13" s="124"/>
      <c r="D13" s="125" t="s">
        <v>561</v>
      </c>
      <c r="E13" s="28"/>
      <c r="F13" s="126"/>
      <c r="G13" s="125" t="s">
        <v>562</v>
      </c>
      <c r="H13" s="28"/>
      <c r="I13" s="126"/>
      <c r="J13" s="125" t="s">
        <v>563</v>
      </c>
      <c r="K13" s="28"/>
      <c r="L13" s="126"/>
      <c r="M13" s="125" t="s">
        <v>564</v>
      </c>
      <c r="N13" s="28"/>
      <c r="O13" s="126"/>
      <c r="P13" s="123" t="s">
        <v>565</v>
      </c>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row>
    <row r="14" ht="18.0" customHeight="1">
      <c r="A14" s="127"/>
      <c r="B14" s="127"/>
      <c r="C14" s="124"/>
      <c r="D14" s="124" t="s">
        <v>566</v>
      </c>
      <c r="E14" s="124" t="s">
        <v>567</v>
      </c>
      <c r="F14" s="128" t="s">
        <v>568</v>
      </c>
      <c r="G14" s="124" t="s">
        <v>566</v>
      </c>
      <c r="H14" s="124" t="s">
        <v>567</v>
      </c>
      <c r="I14" s="128" t="s">
        <v>568</v>
      </c>
      <c r="J14" s="124" t="s">
        <v>566</v>
      </c>
      <c r="K14" s="124" t="s">
        <v>567</v>
      </c>
      <c r="L14" s="128" t="s">
        <v>568</v>
      </c>
      <c r="M14" s="124" t="s">
        <v>566</v>
      </c>
      <c r="N14" s="124" t="s">
        <v>567</v>
      </c>
      <c r="O14" s="128" t="s">
        <v>568</v>
      </c>
      <c r="P14" s="127"/>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row>
    <row r="15" ht="42.0" customHeight="1">
      <c r="A15" s="44" t="s">
        <v>591</v>
      </c>
      <c r="B15" s="45" t="s">
        <v>592</v>
      </c>
      <c r="C15" s="45"/>
      <c r="D15" s="129">
        <f>IFERROR(AVERAGE($H$75:$H$94),"")</f>
        <v>23.05555556</v>
      </c>
      <c r="E15" s="129">
        <f>IFERROR(__xludf.DUMMYFUNCTION("IFERROR(MEDIAN(FILTER($H$75:$H$94,ISNUMBER($H$75:$H$94))),"""")"),22.0)</f>
        <v>22</v>
      </c>
      <c r="F15" s="130" t="s">
        <v>593</v>
      </c>
      <c r="G15" s="129">
        <f>IFERROR(AVERAGEIFS($H$75:$H$94,$B$75:$B$94,"Mothership"),"")</f>
        <v>35.5</v>
      </c>
      <c r="H15" s="129">
        <f>IFERROR(__xludf.DUMMYFUNCTION("IFERROR(MEDIAN(FILTER($H$75:$H$94,$B$75:$B$94=""Mothership"",ISNUMBER($H$75:$H$94))),"""")"),39.0)</f>
        <v>39</v>
      </c>
      <c r="I15" s="130" t="s">
        <v>594</v>
      </c>
      <c r="J15" s="129">
        <f>IFERROR(AVERAGEIFS($H$75:$H$94,$B$75:$B$94,"Embedded"),"")</f>
        <v>19</v>
      </c>
      <c r="K15" s="129">
        <f>IFERROR(__xludf.DUMMYFUNCTION("IFERROR(MEDIAN(FILTER($H$75:$H$94,$B$75:$B$94=""Embedded"",ISNUMBER($H$75:$H$94))),"""")"),22.0)</f>
        <v>22</v>
      </c>
      <c r="L15" s="130" t="s">
        <v>595</v>
      </c>
      <c r="M15" s="129">
        <f>IFERROR(AVERAGEIFS($H$75:$H$94,$D$75:$D$94,1),"")</f>
        <v>17.66666667</v>
      </c>
      <c r="N15" s="129">
        <f>IFERROR(__xludf.DUMMYFUNCTION("IFERROR(MEDIAN(FILTER($H$75:$H$94,$D$75:$D$94=1,ISNUMBER($H$75:$H$94))),"""")"),20.0)</f>
        <v>20</v>
      </c>
      <c r="O15" s="130" t="s">
        <v>596</v>
      </c>
      <c r="P15" s="45" t="s">
        <v>597</v>
      </c>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row>
    <row r="16" ht="82.5" customHeight="1">
      <c r="A16" s="132" t="s">
        <v>598</v>
      </c>
      <c r="B16" s="133" t="s">
        <v>599</v>
      </c>
      <c r="C16" s="133"/>
      <c r="D16" s="138" t="s">
        <v>600</v>
      </c>
      <c r="E16" s="28"/>
      <c r="F16" s="126"/>
      <c r="G16" s="138" t="s">
        <v>601</v>
      </c>
      <c r="H16" s="28"/>
      <c r="I16" s="126"/>
      <c r="J16" s="138" t="s">
        <v>602</v>
      </c>
      <c r="K16" s="28"/>
      <c r="L16" s="126"/>
      <c r="M16" s="138" t="s">
        <v>603</v>
      </c>
      <c r="N16" s="28"/>
      <c r="O16" s="126"/>
      <c r="P16" s="133" t="s">
        <v>604</v>
      </c>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row>
    <row r="17" ht="42.0" customHeight="1">
      <c r="A17" s="44" t="s">
        <v>605</v>
      </c>
      <c r="B17" s="45" t="s">
        <v>606</v>
      </c>
      <c r="C17" s="45"/>
      <c r="D17" s="139" t="str">
        <f>IFERROR(TEXT(AVERAGE($I$75:$I$94),"0%"),"")</f>
        <v>40%</v>
      </c>
      <c r="E17" s="28"/>
      <c r="F17" s="126"/>
      <c r="G17" s="139" t="str">
        <f>IFERROR(TEXT(AVERAGEIFS($I$75:$I$94,$B$75:$B$94,"Mothership"),"0%"),"")</f>
        <v>29%</v>
      </c>
      <c r="H17" s="28"/>
      <c r="I17" s="126"/>
      <c r="J17" s="139" t="str">
        <f>IFERROR(TEXT(AVERAGEIFS($I$75:$I$94,$B$75:$B$94,"Embedded"),"0%"),"")</f>
        <v>33%</v>
      </c>
      <c r="K17" s="28"/>
      <c r="L17" s="126"/>
      <c r="M17" s="139" t="str">
        <f>IFERROR(TEXT(AVERAGEIFS($I$75:$I$94,$D$75:$D$94,1),"0%"),"")</f>
        <v>43%</v>
      </c>
      <c r="N17" s="28"/>
      <c r="O17" s="126"/>
      <c r="P17" s="45" t="s">
        <v>607</v>
      </c>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row>
    <row r="18" ht="7.5" customHeight="1">
      <c r="A18" s="136"/>
      <c r="B18" s="136"/>
      <c r="C18" s="136"/>
      <c r="D18" s="136"/>
      <c r="E18" s="136"/>
      <c r="F18" s="137"/>
      <c r="G18" s="136"/>
      <c r="H18" s="136"/>
      <c r="I18" s="137"/>
      <c r="J18" s="136"/>
      <c r="K18" s="136"/>
      <c r="L18" s="137"/>
      <c r="M18" s="136"/>
      <c r="N18" s="136"/>
      <c r="O18" s="137"/>
      <c r="P18" s="13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row>
    <row r="19" ht="21.75" customHeight="1">
      <c r="A19" s="122" t="s">
        <v>608</v>
      </c>
      <c r="B19" s="28"/>
      <c r="C19" s="28"/>
      <c r="D19" s="28"/>
      <c r="E19" s="28"/>
      <c r="F19" s="28"/>
      <c r="G19" s="28"/>
      <c r="H19" s="28"/>
      <c r="I19" s="28"/>
      <c r="J19" s="28"/>
      <c r="K19" s="28"/>
      <c r="L19" s="28"/>
      <c r="M19" s="28"/>
      <c r="N19" s="28"/>
      <c r="O19" s="28"/>
      <c r="P19" s="29"/>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row>
    <row r="20" ht="21.75" customHeight="1">
      <c r="A20" s="123" t="s">
        <v>559</v>
      </c>
      <c r="B20" s="123" t="s">
        <v>560</v>
      </c>
      <c r="C20" s="124"/>
      <c r="D20" s="125" t="s">
        <v>561</v>
      </c>
      <c r="E20" s="28"/>
      <c r="F20" s="126"/>
      <c r="G20" s="125" t="s">
        <v>562</v>
      </c>
      <c r="H20" s="28"/>
      <c r="I20" s="126"/>
      <c r="J20" s="125" t="s">
        <v>563</v>
      </c>
      <c r="K20" s="28"/>
      <c r="L20" s="126"/>
      <c r="M20" s="125" t="s">
        <v>564</v>
      </c>
      <c r="N20" s="28"/>
      <c r="O20" s="126"/>
      <c r="P20" s="123" t="s">
        <v>565</v>
      </c>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row>
    <row r="21" ht="18.0" customHeight="1">
      <c r="A21" s="127"/>
      <c r="B21" s="127"/>
      <c r="C21" s="124"/>
      <c r="D21" s="124" t="s">
        <v>566</v>
      </c>
      <c r="E21" s="124" t="s">
        <v>567</v>
      </c>
      <c r="F21" s="128" t="s">
        <v>568</v>
      </c>
      <c r="G21" s="124" t="s">
        <v>566</v>
      </c>
      <c r="H21" s="124" t="s">
        <v>567</v>
      </c>
      <c r="I21" s="128" t="s">
        <v>568</v>
      </c>
      <c r="J21" s="124" t="s">
        <v>566</v>
      </c>
      <c r="K21" s="124" t="s">
        <v>567</v>
      </c>
      <c r="L21" s="128" t="s">
        <v>568</v>
      </c>
      <c r="M21" s="124" t="s">
        <v>566</v>
      </c>
      <c r="N21" s="124" t="s">
        <v>567</v>
      </c>
      <c r="O21" s="128" t="s">
        <v>568</v>
      </c>
      <c r="P21" s="127"/>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row>
    <row r="22" ht="42.0" customHeight="1">
      <c r="A22" s="44" t="s">
        <v>609</v>
      </c>
      <c r="B22" s="45" t="s">
        <v>610</v>
      </c>
      <c r="C22" s="45"/>
      <c r="D22" s="129">
        <f>IFERROR(AVERAGE($J$75:$J$94),"")</f>
        <v>8.8125</v>
      </c>
      <c r="E22" s="129">
        <f>IFERROR(__xludf.DUMMYFUNCTION("IFERROR(MEDIAN(FILTER($J$75:$J$94,ISNUMBER($J$75:$J$94))),"""")"),2.0)</f>
        <v>2</v>
      </c>
      <c r="F22" s="130" t="s">
        <v>611</v>
      </c>
      <c r="G22" s="129">
        <f>IFERROR(AVERAGEIFS($J$75:$J$94,$B$75:$B$94,"Mothership"),"")</f>
        <v>19.8</v>
      </c>
      <c r="H22" s="129">
        <f>IFERROR(__xludf.DUMMYFUNCTION("IFERROR(MEDIAN(FILTER($J$75:$J$94,$B$75:$B$94=""Mothership"",ISNUMBER($J$75:$J$94))),"""")"),8.0)</f>
        <v>8</v>
      </c>
      <c r="I22" s="130" t="s">
        <v>611</v>
      </c>
      <c r="J22" s="129">
        <f>IFERROR(AVERAGEIFS($J$75:$J$94,$B$75:$B$94,"Embedded"),"")</f>
        <v>5.142857143</v>
      </c>
      <c r="K22" s="129">
        <f>IFERROR(__xludf.DUMMYFUNCTION("IFERROR(MEDIAN(FILTER($J$75:$J$94,$B$75:$B$94=""Embedded"",ISNUMBER($J$75:$J$94))),"""")"),2.0)</f>
        <v>2</v>
      </c>
      <c r="L22" s="130" t="s">
        <v>612</v>
      </c>
      <c r="M22" s="129">
        <f>IFERROR(AVERAGEIFS($J$75:$J$94,$D$75:$D$94,1),"")</f>
        <v>4.4</v>
      </c>
      <c r="N22" s="129">
        <f>IFERROR(__xludf.DUMMYFUNCTION("IFERROR(MEDIAN(FILTER($J$75:$J$94,$D$75:$D$94=1,ISNUMBER($J$75:$J$94))),"""")"),2.0)</f>
        <v>2</v>
      </c>
      <c r="O22" s="130" t="s">
        <v>613</v>
      </c>
      <c r="P22" s="45" t="s">
        <v>614</v>
      </c>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row>
    <row r="23" ht="42.0" customHeight="1">
      <c r="A23" s="132" t="s">
        <v>615</v>
      </c>
      <c r="B23" s="133" t="s">
        <v>616</v>
      </c>
      <c r="C23" s="133"/>
      <c r="D23" s="134">
        <f>IFERROR(AVERAGE($K$75:$K$94),"")</f>
        <v>42.53846154</v>
      </c>
      <c r="E23" s="134">
        <f>IFERROR(__xludf.DUMMYFUNCTION("IFERROR(MEDIAN(FILTER($K$75:$K$94,ISNUMBER($K$75:$K$94))),"""")"),13.0)</f>
        <v>13</v>
      </c>
      <c r="F23" s="135" t="s">
        <v>617</v>
      </c>
      <c r="G23" s="134">
        <f>IFERROR(AVERAGEIFS($K$75:$K$94,$B$75:$B$94,"Mothership"),"")</f>
        <v>152</v>
      </c>
      <c r="H23" s="134">
        <f>IFERROR(__xludf.DUMMYFUNCTION("IFERROR(MEDIAN(FILTER($K$75:$K$94,$B$75:$B$94=""Mothership"",ISNUMBER($K$75:$K$94))),"""")"),94.0)</f>
        <v>94</v>
      </c>
      <c r="I23" s="135" t="s">
        <v>618</v>
      </c>
      <c r="J23" s="134">
        <f>IFERROR(AVERAGEIFS($K$75:$K$94,$B$75:$B$94,"Embedded"),"")</f>
        <v>11.16666667</v>
      </c>
      <c r="K23" s="134">
        <f>IFERROR(__xludf.DUMMYFUNCTION("IFERROR(MEDIAN(FILTER($K$75:$K$94,$B$75:$B$94=""Embedded"",ISNUMBER($K$75:$K$94))),"""")"),11.0)</f>
        <v>11</v>
      </c>
      <c r="L23" s="135" t="s">
        <v>619</v>
      </c>
      <c r="M23" s="134">
        <f>IFERROR(AVERAGEIFS($K$75:$K$94,$D$75:$D$94,1),"")</f>
        <v>8.6</v>
      </c>
      <c r="N23" s="134">
        <f>IFERROR(__xludf.DUMMYFUNCTION("IFERROR(MEDIAN(FILTER($K$75:$K$94,$D$75:$D$94=1,ISNUMBER($K$75:$K$94))),"""")"),3.0)</f>
        <v>3</v>
      </c>
      <c r="O23" s="135" t="s">
        <v>620</v>
      </c>
      <c r="P23" s="133" t="s">
        <v>621</v>
      </c>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row>
    <row r="24" ht="42.0" customHeight="1">
      <c r="A24" s="44" t="s">
        <v>622</v>
      </c>
      <c r="B24" s="45" t="s">
        <v>623</v>
      </c>
      <c r="C24" s="45"/>
      <c r="D24" s="129">
        <f>IFERROR(AVERAGE($L$75:$L$94),"")</f>
        <v>0.3185585191</v>
      </c>
      <c r="E24" s="129">
        <f>IFERROR(__xludf.DUMMYFUNCTION("IFERROR(MEDIAN(FILTER($L$75:$L$94,ISNUMBER($L$75:$L$94))),"""")"),0.133333333333333)</f>
        <v>0.1333333333</v>
      </c>
      <c r="F24" s="130" t="s">
        <v>624</v>
      </c>
      <c r="G24" s="129">
        <f>IFERROR(AVERAGEIFS($L$75:$L$94,$B$75:$B$94,"Mothership"),"")</f>
        <v>0.2816019033</v>
      </c>
      <c r="H24" s="129">
        <f>IFERROR(__xludf.DUMMYFUNCTION("IFERROR(MEDIAN(FILTER($L$75:$L$94,$B$75:$B$94=""Mothership"",ISNUMBER($L$75:$L$94))),"""")"),0.166666666666667)</f>
        <v>0.1666666667</v>
      </c>
      <c r="I24" s="130" t="s">
        <v>625</v>
      </c>
      <c r="J24" s="129">
        <f>IFERROR(AVERAGEIFS($L$75:$L$94,$B$75:$B$94,"Embedded"),"")</f>
        <v>0.4566502463</v>
      </c>
      <c r="K24" s="129">
        <f>IFERROR(__xludf.DUMMYFUNCTION("IFERROR(MEDIAN(FILTER($L$75:$L$94,$B$75:$B$94=""Embedded"",ISNUMBER($L$75:$L$94))),"""")"),0.0714285714285714)</f>
        <v>0.07142857143</v>
      </c>
      <c r="L24" s="130" t="s">
        <v>624</v>
      </c>
      <c r="M24" s="129">
        <f>IFERROR(AVERAGEIFS($L$75:$L$94,$D$75:$D$94,1),"")</f>
        <v>0.1507662835</v>
      </c>
      <c r="N24" s="129">
        <f>IFERROR(__xludf.DUMMYFUNCTION("IFERROR(MEDIAN(FILTER($L$75:$L$94,$D$75:$D$94=1,ISNUMBER($L$75:$L$94))),"""")"),0.133333333333333)</f>
        <v>0.1333333333</v>
      </c>
      <c r="O24" s="130" t="s">
        <v>626</v>
      </c>
      <c r="P24" s="45" t="s">
        <v>627</v>
      </c>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row>
    <row r="25" ht="42.0" customHeight="1">
      <c r="A25" s="132" t="s">
        <v>628</v>
      </c>
      <c r="B25" s="133" t="s">
        <v>629</v>
      </c>
      <c r="C25" s="133"/>
      <c r="D25" s="134">
        <f>IFERROR(AVERAGE($M$75:$M$94),"")</f>
        <v>1.400935678</v>
      </c>
      <c r="E25" s="134">
        <f>IFERROR(__xludf.DUMMYFUNCTION("IFERROR(MEDIAN(FILTER($M$75:$M$94,ISNUMBER($M$75:$M$94))),"""")"),0.9041666666666666)</f>
        <v>0.9041666667</v>
      </c>
      <c r="F25" s="135" t="s">
        <v>630</v>
      </c>
      <c r="G25" s="134">
        <f>IFERROR(AVERAGEIFS($M$75:$M$94,$B$75:$B$94,"Mothership"),"")</f>
        <v>1.799875907</v>
      </c>
      <c r="H25" s="134">
        <f>IFERROR(__xludf.DUMMYFUNCTION("IFERROR(MEDIAN(FILTER($M$75:$M$94,$B$75:$B$94=""Mothership"",ISNUMBER($M$75:$M$94))),"""")"),0.969072164948454)</f>
        <v>0.9690721649</v>
      </c>
      <c r="I25" s="135" t="s">
        <v>631</v>
      </c>
      <c r="J25" s="134">
        <f>IFERROR(AVERAGEIFS($M$75:$M$94,$B$75:$B$94,"Embedded"),"")</f>
        <v>1.671182266</v>
      </c>
      <c r="K25" s="134">
        <f>IFERROR(__xludf.DUMMYFUNCTION("IFERROR(MEDIAN(FILTER($M$75:$M$94,$B$75:$B$94=""Embedded"",ISNUMBER($M$75:$M$94))),"""")"),1.4285714285714284)</f>
        <v>1.428571429</v>
      </c>
      <c r="L25" s="135" t="s">
        <v>632</v>
      </c>
      <c r="M25" s="134">
        <f>IFERROR(AVERAGEIFS($M$75:$M$94,$D$75:$D$94,1),"")</f>
        <v>0.6064176245</v>
      </c>
      <c r="N25" s="134">
        <f>IFERROR(__xludf.DUMMYFUNCTION("IFERROR(MEDIAN(FILTER($M$75:$M$94,$D$75:$D$94=1,ISNUMBER($M$75:$M$94))),"""")"),0.827586206896552)</f>
        <v>0.8275862069</v>
      </c>
      <c r="O25" s="135" t="s">
        <v>633</v>
      </c>
      <c r="P25" s="133" t="s">
        <v>634</v>
      </c>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row>
    <row r="26" ht="21.75" customHeight="1">
      <c r="A26" s="122" t="s">
        <v>635</v>
      </c>
      <c r="B26" s="28"/>
      <c r="C26" s="28"/>
      <c r="D26" s="28"/>
      <c r="E26" s="28"/>
      <c r="F26" s="28"/>
      <c r="G26" s="28"/>
      <c r="H26" s="28"/>
      <c r="I26" s="28"/>
      <c r="J26" s="28"/>
      <c r="K26" s="28"/>
      <c r="L26" s="28"/>
      <c r="M26" s="28"/>
      <c r="N26" s="28"/>
      <c r="O26" s="28"/>
      <c r="P26" s="29"/>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row>
    <row r="27" ht="21.75" customHeight="1">
      <c r="A27" s="123" t="s">
        <v>559</v>
      </c>
      <c r="B27" s="123" t="s">
        <v>560</v>
      </c>
      <c r="C27" s="124"/>
      <c r="D27" s="125" t="s">
        <v>561</v>
      </c>
      <c r="E27" s="28"/>
      <c r="F27" s="126"/>
      <c r="G27" s="125" t="s">
        <v>562</v>
      </c>
      <c r="H27" s="28"/>
      <c r="I27" s="126"/>
      <c r="J27" s="125" t="s">
        <v>563</v>
      </c>
      <c r="K27" s="28"/>
      <c r="L27" s="126"/>
      <c r="M27" s="125" t="s">
        <v>564</v>
      </c>
      <c r="N27" s="28"/>
      <c r="O27" s="126"/>
      <c r="P27" s="123" t="s">
        <v>565</v>
      </c>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row>
    <row r="28" ht="18.0" customHeight="1">
      <c r="A28" s="127"/>
      <c r="B28" s="127"/>
      <c r="C28" s="124"/>
      <c r="D28" s="124" t="s">
        <v>566</v>
      </c>
      <c r="E28" s="124" t="s">
        <v>567</v>
      </c>
      <c r="F28" s="128" t="s">
        <v>568</v>
      </c>
      <c r="G28" s="124" t="s">
        <v>566</v>
      </c>
      <c r="H28" s="124" t="s">
        <v>567</v>
      </c>
      <c r="I28" s="128" t="s">
        <v>568</v>
      </c>
      <c r="J28" s="124" t="s">
        <v>566</v>
      </c>
      <c r="K28" s="124" t="s">
        <v>567</v>
      </c>
      <c r="L28" s="128" t="s">
        <v>568</v>
      </c>
      <c r="M28" s="124" t="s">
        <v>566</v>
      </c>
      <c r="N28" s="124" t="s">
        <v>567</v>
      </c>
      <c r="O28" s="128" t="s">
        <v>568</v>
      </c>
      <c r="P28" s="127"/>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row>
    <row r="29" ht="42.0" customHeight="1">
      <c r="A29" s="44" t="s">
        <v>636</v>
      </c>
      <c r="B29" s="45" t="s">
        <v>637</v>
      </c>
      <c r="C29" s="45"/>
      <c r="D29" s="129">
        <f>IFERROR(AVERAGE($Q$75:$Q$94),"")</f>
        <v>38.47222222</v>
      </c>
      <c r="E29" s="129">
        <f>IFERROR(__xludf.DUMMYFUNCTION("IFERROR(MEDIAN(FILTER($Q$75:$Q$94,ISNUMBER($Q$75:$Q$94))),"""")"),10.25)</f>
        <v>10.25</v>
      </c>
      <c r="F29" s="130" t="s">
        <v>638</v>
      </c>
      <c r="G29" s="129">
        <f>IFERROR(AVERAGEIFS($Q$75:$Q$94,$B$75:$B$94,"Mothership"),"")</f>
        <v>8.666666667</v>
      </c>
      <c r="H29" s="129">
        <f>IFERROR(__xludf.DUMMYFUNCTION("IFERROR(MEDIAN(FILTER($Q$75:$Q$94,$B$75:$B$94=""Mothership"",ISNUMBER($Q$75:$Q$94))),"""")"),8.25)</f>
        <v>8.25</v>
      </c>
      <c r="I29" s="130" t="s">
        <v>639</v>
      </c>
      <c r="J29" s="129">
        <f>IFERROR(AVERAGEIFS($Q$75:$Q$94,$B$75:$B$94,"Embedded"),"")</f>
        <v>19.6875</v>
      </c>
      <c r="K29" s="129">
        <f>IFERROR(__xludf.DUMMYFUNCTION("IFERROR(MEDIAN(FILTER($Q$75:$Q$94,$B$75:$B$94=""Embedded"",ISNUMBER($Q$75:$Q$94))),"""")"),4.25)</f>
        <v>4.25</v>
      </c>
      <c r="L29" s="130" t="s">
        <v>638</v>
      </c>
      <c r="M29" s="129">
        <f>IFERROR(AVERAGEIFS($Q$75:$Q$94,$D$75:$D$94,1),"")</f>
        <v>52.08333333</v>
      </c>
      <c r="N29" s="129">
        <f>IFERROR(__xludf.DUMMYFUNCTION("IFERROR(MEDIAN(FILTER($Q$75:$Q$94,$D$75:$D$94=1,ISNUMBER($Q$75:$Q$94))),"""")"),8.25)</f>
        <v>8.25</v>
      </c>
      <c r="O29" s="130" t="s">
        <v>640</v>
      </c>
      <c r="P29" s="45" t="s">
        <v>641</v>
      </c>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row>
    <row r="30" ht="42.0" customHeight="1">
      <c r="A30" s="132" t="s">
        <v>642</v>
      </c>
      <c r="B30" s="133" t="s">
        <v>643</v>
      </c>
      <c r="C30" s="133"/>
      <c r="D30" s="142">
        <f>IFERROR(AVERAGE($T$75:$T$94),"")</f>
        <v>12162.28125</v>
      </c>
      <c r="E30" s="142">
        <f>IFERROR(__xludf.DUMMYFUNCTION("IFERROR(MEDIAN(FILTER($T$75:$T$94,ISNUMBER($T$75:$T$94))),"""")"),7397.5)</f>
        <v>7397.5</v>
      </c>
      <c r="F30" s="135" t="s">
        <v>644</v>
      </c>
      <c r="G30" s="142">
        <f>IFERROR(AVERAGEIFS($T$75:$T$94,$B$75:$B$94,"Mothership"),"")</f>
        <v>18518</v>
      </c>
      <c r="H30" s="142">
        <f>IFERROR(__xludf.DUMMYFUNCTION("IFERROR(MEDIAN(FILTER($T$75:$T$94,$B$75:$B$94=""Mothership"",ISNUMBER($T$75:$T$94))),"""")"),10472.5)</f>
        <v>10472.5</v>
      </c>
      <c r="I30" s="135" t="s">
        <v>645</v>
      </c>
      <c r="J30" s="142">
        <f>IFERROR(AVERAGEIFS($T$75:$T$94,$B$75:$B$94,"Embedded"),"")</f>
        <v>9845.5</v>
      </c>
      <c r="K30" s="142">
        <f>IFERROR(__xludf.DUMMYFUNCTION("IFERROR(MEDIAN(FILTER($T$75:$T$94,$B$75:$B$94=""Embedded"",ISNUMBER($T$75:$T$94))),"""")"),5629.0)</f>
        <v>5629</v>
      </c>
      <c r="L30" s="135" t="s">
        <v>646</v>
      </c>
      <c r="M30" s="142">
        <f>IFERROR(AVERAGEIFS($T$75:$T$94,$D$75:$D$94,1),"")</f>
        <v>8106.7</v>
      </c>
      <c r="N30" s="142">
        <f>IFERROR(__xludf.DUMMYFUNCTION("IFERROR(MEDIAN(FILTER($T$75:$T$94,$D$75:$D$94=1,ISNUMBER($T$75:$T$94))),"""")"),5177.0)</f>
        <v>5177</v>
      </c>
      <c r="O30" s="135" t="s">
        <v>647</v>
      </c>
      <c r="P30" s="133" t="s">
        <v>648</v>
      </c>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row>
    <row r="31" ht="42.0" customHeight="1">
      <c r="A31" s="44" t="s">
        <v>649</v>
      </c>
      <c r="B31" s="45" t="s">
        <v>650</v>
      </c>
      <c r="C31" s="45"/>
      <c r="D31" s="143">
        <f>IFERROR(AVERAGE($W$75:$W$94),"")</f>
        <v>1200.644742</v>
      </c>
      <c r="E31" s="143">
        <f>IFERROR(__xludf.DUMMYFUNCTION("IFERROR(MEDIAN(FILTER($W$75:$W$94,ISNUMBER($W$75:$W$94))),"""")"),473.15)</f>
        <v>473.15</v>
      </c>
      <c r="F31" s="130" t="s">
        <v>651</v>
      </c>
      <c r="G31" s="143">
        <f>IFERROR(AVERAGEIFS($W$75:$W$94,$B$75:$B$94,"Mothership"),"")</f>
        <v>2020.663095</v>
      </c>
      <c r="H31" s="143">
        <f>IFERROR(__xludf.DUMMYFUNCTION("IFERROR(MEDIAN(FILTER($W$75:$W$94,$B$75:$B$94=""Mothership"",ISNUMBER($W$75:$W$94))),"""")"),1311.19047619048)</f>
        <v>1311.190476</v>
      </c>
      <c r="I31" s="130" t="s">
        <v>652</v>
      </c>
      <c r="J31" s="143">
        <f>IFERROR(AVERAGEIFS($W$75:$W$94,$B$75:$B$94,"Embedded"),"")</f>
        <v>1085.56746</v>
      </c>
      <c r="K31" s="143">
        <f>IFERROR(__xludf.DUMMYFUNCTION("IFERROR(MEDIAN(FILTER($W$75:$W$94,$B$75:$B$94=""Embedded"",ISNUMBER($W$75:$W$94))),"""")"),510.7142857142855)</f>
        <v>510.7142857</v>
      </c>
      <c r="L31" s="130" t="s">
        <v>653</v>
      </c>
      <c r="M31" s="143">
        <f>IFERROR(AVERAGEIFS($W$75:$W$94,$D$75:$D$94,1),"")</f>
        <v>876.2328865</v>
      </c>
      <c r="N31" s="143">
        <f>IFERROR(__xludf.DUMMYFUNCTION("IFERROR(MEDIAN(FILTER($W$75:$W$94,$D$75:$D$94=1,ISNUMBER($W$75:$W$94))),"""")"),296.746575342466)</f>
        <v>296.7465753</v>
      </c>
      <c r="O31" s="130" t="s">
        <v>654</v>
      </c>
      <c r="P31" s="45" t="s">
        <v>655</v>
      </c>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row>
    <row r="32" ht="42.0" customHeight="1">
      <c r="A32" s="132" t="s">
        <v>656</v>
      </c>
      <c r="B32" s="133" t="s">
        <v>657</v>
      </c>
      <c r="C32" s="133"/>
      <c r="D32" s="144">
        <f>IFERROR(AVERAGE($N$75:$N$94),"")</f>
        <v>5.944444444</v>
      </c>
      <c r="E32" s="144">
        <f>IFERROR(__xludf.DUMMYFUNCTION("IFERROR(MEDIAN(FILTER($N$75:$N$94,ISNUMBER($N$75:$N$94))),"""")"),6.0)</f>
        <v>6</v>
      </c>
      <c r="F32" s="135" t="s">
        <v>658</v>
      </c>
      <c r="G32" s="144">
        <f>IFERROR(AVERAGEIFS($N$75:$N$94,$B$75:$B$94,"Mothership"),"")</f>
        <v>9.5</v>
      </c>
      <c r="H32" s="144">
        <f>IFERROR(__xludf.DUMMYFUNCTION("IFERROR(MEDIAN(FILTER($N$75:$N$94,$B$75:$B$94=""Mothership"",ISNUMBER($N$75:$N$94))),"""")"),9.5)</f>
        <v>9.5</v>
      </c>
      <c r="I32" s="135" t="s">
        <v>659</v>
      </c>
      <c r="J32" s="144">
        <f>IFERROR(AVERAGEIFS($N$75:$N$94,$B$75:$B$94,"Embedded"),"")</f>
        <v>3.625</v>
      </c>
      <c r="K32" s="144">
        <f>IFERROR(__xludf.DUMMYFUNCTION("IFERROR(MEDIAN(FILTER($N$75:$N$94,$B$75:$B$94=""Embedded"",ISNUMBER($N$75:$N$94))),"""")"),3.5)</f>
        <v>3.5</v>
      </c>
      <c r="L32" s="135" t="s">
        <v>660</v>
      </c>
      <c r="M32" s="144">
        <f>IFERROR(AVERAGEIFS($N$75:$N$94,$D$75:$D$94,1),"")</f>
        <v>4.5</v>
      </c>
      <c r="N32" s="144">
        <f>IFERROR(__xludf.DUMMYFUNCTION("IFERROR(MEDIAN(FILTER($N$75:$N$94,$D$75:$D$94=1,ISNUMBER($N$75:$N$94))),"""")"),4.0)</f>
        <v>4</v>
      </c>
      <c r="O32" s="135" t="s">
        <v>661</v>
      </c>
      <c r="P32" s="133" t="s">
        <v>662</v>
      </c>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row>
    <row r="33" ht="42.0" customHeight="1">
      <c r="A33" s="44" t="s">
        <v>663</v>
      </c>
      <c r="B33" s="45" t="s">
        <v>664</v>
      </c>
      <c r="C33" s="45"/>
      <c r="D33" s="139" t="str">
        <f>IFERROR(TEXT(AVERAGE($X$75:$X$94),"0%"),"")</f>
        <v>40%</v>
      </c>
      <c r="E33" s="28"/>
      <c r="F33" s="126"/>
      <c r="G33" s="139" t="str">
        <f>IFERROR(TEXT(AVERAGEIFS($X$75:$X$94,$B$75:$B$94,"Mothership"),"0%"),"")</f>
        <v>57%</v>
      </c>
      <c r="H33" s="28"/>
      <c r="I33" s="126"/>
      <c r="J33" s="139" t="str">
        <f>IFERROR(TEXT(AVERAGEIFS($X$75:$X$94,$B$75:$B$94,"Embedded"),"0%"),"")</f>
        <v>44%</v>
      </c>
      <c r="K33" s="28"/>
      <c r="L33" s="126"/>
      <c r="M33" s="139" t="str">
        <f>IFERROR(TEXT(AVERAGEIFS($X$75:$X$94,$D$75:$D$94,1),"0%"),"")</f>
        <v>29%</v>
      </c>
      <c r="N33" s="28"/>
      <c r="O33" s="126"/>
      <c r="P33" s="45" t="s">
        <v>665</v>
      </c>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row>
    <row r="34" ht="42.0" customHeight="1">
      <c r="A34" s="132" t="s">
        <v>666</v>
      </c>
      <c r="B34" s="133" t="s">
        <v>667</v>
      </c>
      <c r="C34" s="133"/>
      <c r="D34" s="145" t="str">
        <f>IFERROR(TEXT(COUNTIF($P$75:$P$94,"&gt;1")/COUNTIFS($P$75:$P$94,"&gt;=-1E+307"),"0%"),"")</f>
        <v>94%</v>
      </c>
      <c r="E34" s="28"/>
      <c r="F34" s="126"/>
      <c r="G34" s="145" t="str">
        <f>IFERROR(TEXT(COUNTIFS($P$75:$P$94,"&gt;1",$B$75:$B$94,"Mothership")/COUNTIFS($P$75:$P$94,"&gt;=-1E+307",$B$75:$B$94,"Mothership"),"0%"),"")</f>
        <v>100%</v>
      </c>
      <c r="H34" s="28"/>
      <c r="I34" s="126"/>
      <c r="J34" s="145" t="str">
        <f>IFERROR(TEXT(COUNTIFS($P$75:$P$94,"&gt;1",$B$75:$B$94,"Embedded")/COUNTIFS($P$75:$P$94,"&gt;=-1E+307",$B$75:$B$94,"Embedded"),"0%"),"")</f>
        <v>88%</v>
      </c>
      <c r="K34" s="28"/>
      <c r="L34" s="126"/>
      <c r="M34" s="145" t="str">
        <f>IFERROR(TEXT(COUNTIFS($P$75:$P$94,"&gt;1",$D$75:$D$94,1)/COUNTIFS($P$75:$P$94,"&gt;=-1E+307",$D$75:$D$94,1),"0%"),"")</f>
        <v>100%</v>
      </c>
      <c r="N34" s="28"/>
      <c r="O34" s="126"/>
      <c r="P34" s="133" t="s">
        <v>668</v>
      </c>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row>
    <row r="35" ht="7.5" customHeight="1">
      <c r="A35" s="136"/>
      <c r="B35" s="136"/>
      <c r="C35" s="136"/>
      <c r="D35" s="136"/>
      <c r="E35" s="136"/>
      <c r="F35" s="137"/>
      <c r="G35" s="136"/>
      <c r="H35" s="136"/>
      <c r="I35" s="137"/>
      <c r="J35" s="136"/>
      <c r="K35" s="136"/>
      <c r="L35" s="137"/>
      <c r="M35" s="136"/>
      <c r="N35" s="136"/>
      <c r="O35" s="137"/>
      <c r="P35" s="136"/>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row>
    <row r="36" ht="7.5" customHeight="1">
      <c r="A36" s="136"/>
      <c r="B36" s="136"/>
      <c r="C36" s="136"/>
      <c r="D36" s="136"/>
      <c r="E36" s="136"/>
      <c r="F36" s="137"/>
      <c r="G36" s="136"/>
      <c r="H36" s="136"/>
      <c r="I36" s="137"/>
      <c r="J36" s="136"/>
      <c r="K36" s="136"/>
      <c r="L36" s="137"/>
      <c r="M36" s="136"/>
      <c r="N36" s="136"/>
      <c r="O36" s="137"/>
      <c r="P36" s="136"/>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row>
    <row r="37" ht="21.75" customHeight="1">
      <c r="A37" s="122" t="s">
        <v>669</v>
      </c>
      <c r="B37" s="28"/>
      <c r="C37" s="28"/>
      <c r="D37" s="28"/>
      <c r="E37" s="28"/>
      <c r="F37" s="28"/>
      <c r="G37" s="28"/>
      <c r="H37" s="28"/>
      <c r="I37" s="28"/>
      <c r="J37" s="28"/>
      <c r="K37" s="28"/>
      <c r="L37" s="28"/>
      <c r="M37" s="28"/>
      <c r="N37" s="28"/>
      <c r="O37" s="28"/>
      <c r="P37" s="29"/>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row>
    <row r="38" ht="21.75" customHeight="1">
      <c r="A38" s="123" t="s">
        <v>559</v>
      </c>
      <c r="B38" s="123" t="s">
        <v>560</v>
      </c>
      <c r="C38" s="124"/>
      <c r="D38" s="125" t="s">
        <v>561</v>
      </c>
      <c r="E38" s="28"/>
      <c r="F38" s="126"/>
      <c r="G38" s="125" t="s">
        <v>562</v>
      </c>
      <c r="H38" s="28"/>
      <c r="I38" s="126"/>
      <c r="J38" s="125" t="s">
        <v>563</v>
      </c>
      <c r="K38" s="28"/>
      <c r="L38" s="126"/>
      <c r="M38" s="125" t="s">
        <v>564</v>
      </c>
      <c r="N38" s="28"/>
      <c r="O38" s="126"/>
      <c r="P38" s="123" t="s">
        <v>565</v>
      </c>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row>
    <row r="39" ht="18.0" customHeight="1">
      <c r="A39" s="127"/>
      <c r="B39" s="127"/>
      <c r="C39" s="124"/>
      <c r="D39" s="124" t="s">
        <v>566</v>
      </c>
      <c r="E39" s="124" t="s">
        <v>567</v>
      </c>
      <c r="F39" s="128" t="s">
        <v>568</v>
      </c>
      <c r="G39" s="124" t="s">
        <v>566</v>
      </c>
      <c r="H39" s="124" t="s">
        <v>567</v>
      </c>
      <c r="I39" s="128" t="s">
        <v>568</v>
      </c>
      <c r="J39" s="124" t="s">
        <v>566</v>
      </c>
      <c r="K39" s="124" t="s">
        <v>567</v>
      </c>
      <c r="L39" s="128" t="s">
        <v>568</v>
      </c>
      <c r="M39" s="124" t="s">
        <v>566</v>
      </c>
      <c r="N39" s="124" t="s">
        <v>567</v>
      </c>
      <c r="O39" s="128" t="s">
        <v>568</v>
      </c>
      <c r="P39" s="127"/>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row>
    <row r="40" ht="42.0" customHeight="1">
      <c r="A40" s="44" t="s">
        <v>670</v>
      </c>
      <c r="B40" s="45" t="s">
        <v>671</v>
      </c>
      <c r="C40" s="45"/>
      <c r="D40" s="129">
        <f>IFERROR(AVERAGE($Z$75:$Z$94),"")</f>
        <v>61.77777778</v>
      </c>
      <c r="E40" s="129">
        <f>IFERROR(__xludf.DUMMYFUNCTION("IFERROR(MEDIAN(FILTER($Z$75:$Z$94,ISNUMBER($Z$75:$Z$94))),"""")"),55.0)</f>
        <v>55</v>
      </c>
      <c r="F40" s="130" t="s">
        <v>672</v>
      </c>
      <c r="G40" s="129">
        <f>IFERROR(AVERAGEIFS($Z$75:$Z$94,$B$75:$B$94,"Mothership"),"")</f>
        <v>93.5</v>
      </c>
      <c r="H40" s="129">
        <f>IFERROR(__xludf.DUMMYFUNCTION("IFERROR(MEDIAN(FILTER($Z$75:$Z$94,$B$75:$B$94=""Mothership"",ISNUMBER($Z$75:$Z$94))),"""")"),75.0)</f>
        <v>75</v>
      </c>
      <c r="I40" s="130" t="s">
        <v>673</v>
      </c>
      <c r="J40" s="129">
        <f>IFERROR(AVERAGEIFS($Z$75:$Z$94,$B$75:$B$94,"Embedded"),"")</f>
        <v>44.125</v>
      </c>
      <c r="K40" s="129">
        <f>IFERROR(__xludf.DUMMYFUNCTION("IFERROR(MEDIAN(FILTER($Z$75:$Z$94,$B$75:$B$94=""Embedded"",ISNUMBER($Z$75:$Z$94))),"""")"),40.0)</f>
        <v>40</v>
      </c>
      <c r="L40" s="130" t="s">
        <v>674</v>
      </c>
      <c r="M40" s="129">
        <f>IFERROR(AVERAGEIFS($Z$75:$Z$94,$D$75:$D$94,1),"")</f>
        <v>46.5</v>
      </c>
      <c r="N40" s="129">
        <f>IFERROR(__xludf.DUMMYFUNCTION("IFERROR(MEDIAN(FILTER($Z$75:$Z$94,$D$75:$D$94=1,ISNUMBER($Z$75:$Z$94))),"""")"),45.0)</f>
        <v>45</v>
      </c>
      <c r="O40" s="130" t="s">
        <v>675</v>
      </c>
      <c r="P40" s="45" t="s">
        <v>676</v>
      </c>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row>
    <row r="41" ht="42.0" customHeight="1">
      <c r="A41" s="132" t="s">
        <v>677</v>
      </c>
      <c r="B41" s="133" t="s">
        <v>678</v>
      </c>
      <c r="C41" s="133"/>
      <c r="D41" s="142">
        <f>IFERROR(AVERAGE($AC$75:$AC$94),"")</f>
        <v>3954.576923</v>
      </c>
      <c r="E41" s="142">
        <f>IFERROR(__xludf.DUMMYFUNCTION("IFERROR(MEDIAN(FILTER($AC$75:$AC$94,ISNUMBER($AC$75:$AC$94))),"""")"),1374.5)</f>
        <v>1374.5</v>
      </c>
      <c r="F41" s="135" t="s">
        <v>679</v>
      </c>
      <c r="G41" s="142">
        <f>IFERROR(AVERAGEIFS($AC$75:$AC$94,$B$75:$B$94,"Mothership"),"")</f>
        <v>2101.5</v>
      </c>
      <c r="H41" s="142">
        <f>IFERROR(__xludf.DUMMYFUNCTION("IFERROR(MEDIAN(FILTER($AC$75:$AC$94,$B$75:$B$94=""Mothership"",ISNUMBER($AC$75:$AC$94))),"""")"),1120.5)</f>
        <v>1120.5</v>
      </c>
      <c r="I41" s="135" t="s">
        <v>680</v>
      </c>
      <c r="J41" s="142">
        <f>IFERROR(AVERAGEIFS($AC$75:$AC$94,$B$75:$B$94,"Embedded"),"")</f>
        <v>4691</v>
      </c>
      <c r="K41" s="142">
        <f>IFERROR(__xludf.DUMMYFUNCTION("IFERROR(MEDIAN(FILTER($AC$75:$AC$94,$B$75:$B$94=""Embedded"",ISNUMBER($AC$75:$AC$94))),"""")"),1374.5)</f>
        <v>1374.5</v>
      </c>
      <c r="L41" s="135" t="s">
        <v>681</v>
      </c>
      <c r="M41" s="142">
        <f>IFERROR(AVERAGEIFS($AC$75:$AC$94,$D$75:$D$94,1),"")</f>
        <v>6049.2</v>
      </c>
      <c r="N41" s="142">
        <f>IFERROR(__xludf.DUMMYFUNCTION("IFERROR(MEDIAN(FILTER($AC$75:$AC$94,$D$75:$D$94=1,ISNUMBER($AC$75:$AC$94))),"""")"),1374.5)</f>
        <v>1374.5</v>
      </c>
      <c r="O41" s="135" t="s">
        <v>681</v>
      </c>
      <c r="P41" s="133" t="s">
        <v>682</v>
      </c>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row>
    <row r="42" ht="7.5" customHeight="1">
      <c r="A42" s="136"/>
      <c r="B42" s="136"/>
      <c r="C42" s="136"/>
      <c r="D42" s="136"/>
      <c r="E42" s="136"/>
      <c r="F42" s="137"/>
      <c r="G42" s="136"/>
      <c r="H42" s="136"/>
      <c r="I42" s="137"/>
      <c r="J42" s="136"/>
      <c r="K42" s="136"/>
      <c r="L42" s="137"/>
      <c r="M42" s="136"/>
      <c r="N42" s="136"/>
      <c r="O42" s="137"/>
      <c r="P42" s="136"/>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row>
    <row r="43" ht="21.75" customHeight="1">
      <c r="A43" s="122" t="s">
        <v>683</v>
      </c>
      <c r="B43" s="28"/>
      <c r="C43" s="28"/>
      <c r="D43" s="28"/>
      <c r="E43" s="28"/>
      <c r="F43" s="28"/>
      <c r="G43" s="28"/>
      <c r="H43" s="28"/>
      <c r="I43" s="28"/>
      <c r="J43" s="28"/>
      <c r="K43" s="28"/>
      <c r="L43" s="28"/>
      <c r="M43" s="28"/>
      <c r="N43" s="28"/>
      <c r="O43" s="28"/>
      <c r="P43" s="29"/>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row>
    <row r="44" ht="21.75" customHeight="1">
      <c r="A44" s="123" t="s">
        <v>559</v>
      </c>
      <c r="B44" s="123" t="s">
        <v>560</v>
      </c>
      <c r="C44" s="124"/>
      <c r="D44" s="125" t="s">
        <v>561</v>
      </c>
      <c r="E44" s="28"/>
      <c r="F44" s="126"/>
      <c r="G44" s="125" t="s">
        <v>562</v>
      </c>
      <c r="H44" s="28"/>
      <c r="I44" s="126"/>
      <c r="J44" s="125" t="s">
        <v>563</v>
      </c>
      <c r="K44" s="28"/>
      <c r="L44" s="126"/>
      <c r="M44" s="125" t="s">
        <v>564</v>
      </c>
      <c r="N44" s="28"/>
      <c r="O44" s="126"/>
      <c r="P44" s="123" t="s">
        <v>565</v>
      </c>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row>
    <row r="45" ht="18.0" customHeight="1">
      <c r="A45" s="127"/>
      <c r="B45" s="127"/>
      <c r="C45" s="124"/>
      <c r="D45" s="124" t="s">
        <v>566</v>
      </c>
      <c r="E45" s="124" t="s">
        <v>567</v>
      </c>
      <c r="F45" s="128" t="s">
        <v>568</v>
      </c>
      <c r="G45" s="124" t="s">
        <v>566</v>
      </c>
      <c r="H45" s="124" t="s">
        <v>567</v>
      </c>
      <c r="I45" s="128" t="s">
        <v>568</v>
      </c>
      <c r="J45" s="124" t="s">
        <v>566</v>
      </c>
      <c r="K45" s="124" t="s">
        <v>567</v>
      </c>
      <c r="L45" s="128" t="s">
        <v>568</v>
      </c>
      <c r="M45" s="124" t="s">
        <v>566</v>
      </c>
      <c r="N45" s="124" t="s">
        <v>567</v>
      </c>
      <c r="O45" s="128" t="s">
        <v>568</v>
      </c>
      <c r="P45" s="127"/>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row>
    <row r="46" ht="42.0" customHeight="1">
      <c r="A46" s="44" t="s">
        <v>684</v>
      </c>
      <c r="B46" s="45" t="s">
        <v>685</v>
      </c>
      <c r="C46" s="45"/>
      <c r="D46" s="147" t="str">
        <f>IFERROR(TEXT(AVERAGE($AD$75:$AD$94),"0%"),"")</f>
        <v>55%</v>
      </c>
      <c r="E46" s="148"/>
      <c r="F46" s="130"/>
      <c r="G46" s="147" t="str">
        <f>IFERROR(TEXT(AVERAGEIFS($AD$75:$AD$94,$B$75:$B$94,"Mothership"),"0%"),"")</f>
        <v>14%</v>
      </c>
      <c r="H46" s="148"/>
      <c r="I46" s="130"/>
      <c r="J46" s="147" t="str">
        <f>IFERROR(TEXT(AVERAGEIFS($AD$75:$AD$94,$B$75:$B$94,"Embedded"),"0%"),"")</f>
        <v>78%</v>
      </c>
      <c r="K46" s="148"/>
      <c r="L46" s="130"/>
      <c r="M46" s="147" t="str">
        <f>IFERROR(TEXT(AVERAGEIFS($AD$75:$AD$94,$D$75:$D$94,1),"0%"),"")</f>
        <v>57%</v>
      </c>
      <c r="N46" s="148"/>
      <c r="O46" s="130"/>
      <c r="P46" s="45" t="s">
        <v>686</v>
      </c>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row>
    <row r="47" ht="42.0" customHeight="1">
      <c r="A47" s="132" t="s">
        <v>687</v>
      </c>
      <c r="B47" s="133" t="s">
        <v>688</v>
      </c>
      <c r="C47" s="133"/>
      <c r="D47" s="134">
        <f>IFERROR(AVERAGE($AE$75:$AE$94),"")</f>
        <v>1.888888889</v>
      </c>
      <c r="E47" s="134">
        <f>IFERROR(__xludf.DUMMYFUNCTION("IFERROR(MEDIAN(FILTER($AE$75:$AE$94,ISNUMBER($AE$75:$AE$94))),"""")"),1.0)</f>
        <v>1</v>
      </c>
      <c r="F47" s="135" t="s">
        <v>689</v>
      </c>
      <c r="G47" s="134">
        <f>IFERROR(AVERAGEIFS($AE$75:$AE$94,$B$75:$B$94,"Mothership"),"")</f>
        <v>0.1666666667</v>
      </c>
      <c r="H47" s="134">
        <f>IFERROR(__xludf.DUMMYFUNCTION("IFERROR(MEDIAN(FILTER($AE$75:$AE$94,$B$75:$B$94=""Mothership"",ISNUMBER($AE$75:$AE$94))),"""")"),0.0)</f>
        <v>0</v>
      </c>
      <c r="I47" s="135" t="s">
        <v>690</v>
      </c>
      <c r="J47" s="134">
        <f>IFERROR(AVERAGEIFS($AE$75:$AE$94,$B$75:$B$94,"Embedded"),"")</f>
        <v>2.625</v>
      </c>
      <c r="K47" s="134">
        <f>IFERROR(__xludf.DUMMYFUNCTION("IFERROR(MEDIAN(FILTER($AE$75:$AE$94,$B$75:$B$94=""Embedded"",ISNUMBER($AE$75:$AE$94))),"""")"),2.0)</f>
        <v>2</v>
      </c>
      <c r="L47" s="135" t="s">
        <v>689</v>
      </c>
      <c r="M47" s="134">
        <f>IFERROR(AVERAGEIFS($AE$75:$AE$94,$D$75:$D$94,1),"")</f>
        <v>1.5</v>
      </c>
      <c r="N47" s="134">
        <f>IFERROR(__xludf.DUMMYFUNCTION("IFERROR(MEDIAN(FILTER($AE$75:$AE$94,$D$75:$D$94=1,ISNUMBER($AE$75:$AE$94))),"""")"),1.0)</f>
        <v>1</v>
      </c>
      <c r="O47" s="135" t="s">
        <v>691</v>
      </c>
      <c r="P47" s="133" t="s">
        <v>692</v>
      </c>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row>
    <row r="48" ht="42.0" customHeight="1">
      <c r="A48" s="44" t="s">
        <v>693</v>
      </c>
      <c r="B48" s="45" t="s">
        <v>694</v>
      </c>
      <c r="C48" s="45"/>
      <c r="D48" s="143">
        <f>IFERROR(AVERAGE($AI$75:$AI$94),"")</f>
        <v>1883.191875</v>
      </c>
      <c r="E48" s="143">
        <f>IFERROR(__xludf.DUMMYFUNCTION("IFERROR(MEDIAN(FILTER($AI$75:$AI$94,ISNUMBER($AI$75:$AI$94))),"""")"),1510.25)</f>
        <v>1510.25</v>
      </c>
      <c r="F48" s="130" t="s">
        <v>695</v>
      </c>
      <c r="G48" s="143" t="str">
        <f>IFERROR(AVERAGEIFS($AI$75:$AI$94,$B$75:$B$94,"Mothership"),"")</f>
        <v/>
      </c>
      <c r="H48" s="143" t="str">
        <f>IFERROR(__xludf.DUMMYFUNCTION("IFERROR(MEDIAN(FILTER($AI$75:$AI$94,$B$75:$B$94=""Mothership"",ISNUMBER($AI$75:$AI$94))),"""")"),"")</f>
        <v/>
      </c>
      <c r="I48" s="130"/>
      <c r="J48" s="143">
        <f>IFERROR(AVERAGEIFS($AI$75:$AI$94,$B$75:$B$94,"Embedded"),"")</f>
        <v>1649.4225</v>
      </c>
      <c r="K48" s="143">
        <f>IFERROR(__xludf.DUMMYFUNCTION("IFERROR(MEDIAN(FILTER($AI$75:$AI$94,$B$75:$B$94=""Embedded"",ISNUMBER($AI$75:$AI$94))),"""")"),1510.25)</f>
        <v>1510.25</v>
      </c>
      <c r="L48" s="130" t="s">
        <v>695</v>
      </c>
      <c r="M48" s="143">
        <f>IFERROR(AVERAGEIFS($AI$75:$AI$94,$D$75:$D$94,1),"")</f>
        <v>1236.75</v>
      </c>
      <c r="N48" s="143">
        <f>IFERROR(__xludf.DUMMYFUNCTION("IFERROR(MEDIAN(FILTER($AI$75:$AI$94,$D$75:$D$94=1,ISNUMBER($AI$75:$AI$94))),"""")"),1236.75)</f>
        <v>1236.75</v>
      </c>
      <c r="O48" s="130" t="s">
        <v>696</v>
      </c>
      <c r="P48" s="45" t="s">
        <v>697</v>
      </c>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row>
    <row r="49" ht="42.0" customHeight="1">
      <c r="A49" s="132" t="s">
        <v>698</v>
      </c>
      <c r="B49" s="133" t="s">
        <v>699</v>
      </c>
      <c r="C49" s="133"/>
      <c r="D49" s="142">
        <f>IFERROR(AVERAGE($AL$75:$AL$94),"")</f>
        <v>22598.3025</v>
      </c>
      <c r="E49" s="142">
        <f>IFERROR(__xludf.DUMMYFUNCTION("IFERROR(MEDIAN(FILTER($AL$75:$AL$94,ISNUMBER($AL$75:$AL$94))),"""")"),18123.0)</f>
        <v>18123</v>
      </c>
      <c r="F49" s="135" t="s">
        <v>700</v>
      </c>
      <c r="G49" s="142" t="str">
        <f>IFERROR(AVERAGEIFS($AL$75:$AL$94,$B$75:$B$94,"Mothership"),"")</f>
        <v/>
      </c>
      <c r="H49" s="142" t="str">
        <f>IFERROR(__xludf.DUMMYFUNCTION("IFERROR(MEDIAN(FILTER($AL$75:$AL$94,$B$75:$B$94=""Mothership"",ISNUMBER($AL$75:$AL$94))),"""")"),"")</f>
        <v/>
      </c>
      <c r="I49" s="135"/>
      <c r="J49" s="142">
        <f>IFERROR(AVERAGEIFS($AL$75:$AL$94,$B$75:$B$94,"Embedded"),"")</f>
        <v>19793.07</v>
      </c>
      <c r="K49" s="142">
        <f>IFERROR(__xludf.DUMMYFUNCTION("IFERROR(MEDIAN(FILTER($AL$75:$AL$94,$B$75:$B$94=""Embedded"",ISNUMBER($AL$75:$AL$94))),"""")"),18123.0)</f>
        <v>18123</v>
      </c>
      <c r="L49" s="135" t="s">
        <v>700</v>
      </c>
      <c r="M49" s="142">
        <f>IFERROR(AVERAGEIFS($AL$75:$AL$94,$D$75:$D$94,1),"")</f>
        <v>14841</v>
      </c>
      <c r="N49" s="142">
        <f>IFERROR(__xludf.DUMMYFUNCTION("IFERROR(MEDIAN(FILTER($AL$75:$AL$94,$D$75:$D$94=1,ISNUMBER($AL$75:$AL$94))),"""")"),14841.0)</f>
        <v>14841</v>
      </c>
      <c r="O49" s="135" t="s">
        <v>701</v>
      </c>
      <c r="P49" s="133" t="s">
        <v>702</v>
      </c>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row>
    <row r="50" ht="42.0" customHeight="1">
      <c r="A50" s="44" t="s">
        <v>703</v>
      </c>
      <c r="B50" s="45" t="s">
        <v>704</v>
      </c>
      <c r="C50" s="45"/>
      <c r="D50" s="143">
        <f>IFERROR(AVERAGE($AF$75:$AF$94),"")</f>
        <v>1853.666667</v>
      </c>
      <c r="E50" s="143">
        <f>IFERROR(__xludf.DUMMYFUNCTION("IFERROR(MEDIAN(FILTER($AF$75:$AF$94,ISNUMBER($AF$75:$AF$94))),"""")"),2016.0)</f>
        <v>2016</v>
      </c>
      <c r="F50" s="130" t="s">
        <v>705</v>
      </c>
      <c r="G50" s="143" t="str">
        <f>IFERROR(AVERAGEIFS($AF$75:$AF$94,$B$75:$B$94,"Mothership"),"")</f>
        <v/>
      </c>
      <c r="H50" s="143" t="str">
        <f>IFERROR(__xludf.DUMMYFUNCTION("IFERROR(MEDIAN(FILTER($AF$75:$AF$94,$B$75:$B$94=""Mothership"",ISNUMBER($AF$75:$AF$94))),"""")"),"")</f>
        <v/>
      </c>
      <c r="I50" s="130"/>
      <c r="J50" s="143">
        <f>IFERROR(AVERAGEIFS($AF$75:$AF$94,$B$75:$B$94,"Embedded"),"")</f>
        <v>1853.666667</v>
      </c>
      <c r="K50" s="143">
        <f>IFERROR(__xludf.DUMMYFUNCTION("IFERROR(MEDIAN(FILTER($AF$75:$AF$94,$B$75:$B$94=""Embedded"",ISNUMBER($AF$75:$AF$94))),"""")"),2016.0)</f>
        <v>2016</v>
      </c>
      <c r="L50" s="130" t="s">
        <v>705</v>
      </c>
      <c r="M50" s="143" t="str">
        <f>IFERROR(AVERAGEIFS($AF$75:$AF$94,$D$75:$D$94,1),"")</f>
        <v/>
      </c>
      <c r="N50" s="143" t="str">
        <f>IFERROR(__xludf.DUMMYFUNCTION("IFERROR(MEDIAN(FILTER($AF$75:$AF$94,$D$75:$D$94=1,ISNUMBER($AF$75:$AF$94))),"""")"),"")</f>
        <v/>
      </c>
      <c r="O50" s="130"/>
      <c r="P50" s="45" t="s">
        <v>706</v>
      </c>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row>
    <row r="51" ht="7.5" customHeight="1">
      <c r="A51" s="136"/>
      <c r="B51" s="136"/>
      <c r="C51" s="136"/>
      <c r="D51" s="136"/>
      <c r="E51" s="136"/>
      <c r="F51" s="137"/>
      <c r="G51" s="136"/>
      <c r="H51" s="136"/>
      <c r="I51" s="137"/>
      <c r="J51" s="136"/>
      <c r="K51" s="136"/>
      <c r="L51" s="137"/>
      <c r="M51" s="136"/>
      <c r="N51" s="136"/>
      <c r="O51" s="137"/>
      <c r="P51" s="13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row>
    <row r="52" ht="15.0" customHeight="1">
      <c r="A52" s="120"/>
      <c r="B52" s="120"/>
      <c r="C52" s="119"/>
      <c r="D52" s="121"/>
      <c r="E52" s="121"/>
      <c r="F52" s="121"/>
      <c r="G52" s="121"/>
      <c r="H52" s="121"/>
      <c r="I52" s="121"/>
      <c r="J52" s="121"/>
      <c r="K52" s="121"/>
      <c r="L52" s="121"/>
      <c r="M52" s="121"/>
      <c r="N52" s="121"/>
      <c r="O52" s="121"/>
      <c r="P52" s="120"/>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row>
    <row r="53" ht="15.0" customHeight="1">
      <c r="A53" s="120"/>
      <c r="B53" s="120"/>
      <c r="C53" s="119"/>
      <c r="D53" s="121"/>
      <c r="E53" s="121"/>
      <c r="F53" s="121"/>
      <c r="G53" s="121"/>
      <c r="H53" s="121"/>
      <c r="I53" s="121"/>
      <c r="J53" s="121"/>
      <c r="K53" s="121"/>
      <c r="L53" s="121"/>
      <c r="M53" s="121"/>
      <c r="N53" s="121"/>
      <c r="O53" s="121"/>
      <c r="P53" s="120"/>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row>
    <row r="54" ht="15.0" customHeight="1">
      <c r="A54" s="120"/>
      <c r="B54" s="120"/>
      <c r="C54" s="119"/>
      <c r="D54" s="121"/>
      <c r="E54" s="121"/>
      <c r="F54" s="121"/>
      <c r="G54" s="121"/>
      <c r="H54" s="121"/>
      <c r="I54" s="121"/>
      <c r="J54" s="121"/>
      <c r="K54" s="121"/>
      <c r="L54" s="121"/>
      <c r="M54" s="121"/>
      <c r="N54" s="121"/>
      <c r="O54" s="121"/>
      <c r="P54" s="120"/>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row>
    <row r="55" ht="15.0" customHeight="1">
      <c r="A55" s="120"/>
      <c r="B55" s="120"/>
      <c r="C55" s="119"/>
      <c r="D55" s="121"/>
      <c r="E55" s="121"/>
      <c r="F55" s="121"/>
      <c r="G55" s="121"/>
      <c r="H55" s="121"/>
      <c r="I55" s="121"/>
      <c r="J55" s="121"/>
      <c r="K55" s="121"/>
      <c r="L55" s="121"/>
      <c r="M55" s="121"/>
      <c r="N55" s="121"/>
      <c r="O55" s="121"/>
      <c r="P55" s="120"/>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row>
    <row r="56" ht="15.75" customHeight="1">
      <c r="A56" s="149"/>
      <c r="B56" s="149"/>
      <c r="C56" s="119"/>
      <c r="D56" s="150"/>
      <c r="E56" s="151"/>
      <c r="F56" s="151"/>
      <c r="G56" s="150"/>
      <c r="H56" s="151"/>
      <c r="I56" s="151"/>
      <c r="J56" s="150"/>
      <c r="K56" s="151"/>
      <c r="L56" s="151"/>
      <c r="M56" s="150"/>
      <c r="N56" s="151"/>
      <c r="O56" s="151"/>
      <c r="P56" s="152"/>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row>
    <row r="57" ht="15.75" customHeight="1">
      <c r="A57" s="149"/>
      <c r="B57" s="149"/>
      <c r="C57" s="119"/>
      <c r="D57" s="150"/>
      <c r="E57" s="151"/>
      <c r="F57" s="151"/>
      <c r="G57" s="150"/>
      <c r="H57" s="151"/>
      <c r="I57" s="151"/>
      <c r="J57" s="150"/>
      <c r="K57" s="151"/>
      <c r="L57" s="151"/>
      <c r="M57" s="150"/>
      <c r="N57" s="151"/>
      <c r="O57" s="151"/>
      <c r="P57" s="152"/>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row>
    <row r="58" ht="15.75" customHeight="1">
      <c r="A58" s="149"/>
      <c r="B58" s="149"/>
      <c r="C58" s="119"/>
      <c r="D58" s="150"/>
      <c r="E58" s="151"/>
      <c r="F58" s="151"/>
      <c r="G58" s="150"/>
      <c r="H58" s="151"/>
      <c r="I58" s="151"/>
      <c r="J58" s="150"/>
      <c r="K58" s="151"/>
      <c r="L58" s="151"/>
      <c r="M58" s="150"/>
      <c r="N58" s="151"/>
      <c r="O58" s="151"/>
      <c r="P58" s="152"/>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row>
    <row r="59" ht="15.75" customHeight="1">
      <c r="A59" s="149"/>
      <c r="B59" s="149"/>
      <c r="C59" s="119"/>
      <c r="D59" s="150"/>
      <c r="E59" s="151"/>
      <c r="F59" s="151"/>
      <c r="G59" s="150"/>
      <c r="H59" s="151"/>
      <c r="I59" s="151"/>
      <c r="J59" s="150"/>
      <c r="K59" s="151"/>
      <c r="L59" s="151"/>
      <c r="M59" s="150"/>
      <c r="N59" s="151"/>
      <c r="O59" s="151"/>
      <c r="P59" s="152"/>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c r="AW59" s="116"/>
    </row>
    <row r="60" ht="15.75" customHeight="1">
      <c r="A60" s="149"/>
      <c r="B60" s="149"/>
      <c r="C60" s="119"/>
      <c r="D60" s="150"/>
      <c r="E60" s="151"/>
      <c r="F60" s="151"/>
      <c r="G60" s="150"/>
      <c r="H60" s="151"/>
      <c r="I60" s="151"/>
      <c r="J60" s="150"/>
      <c r="K60" s="151"/>
      <c r="L60" s="151"/>
      <c r="M60" s="150"/>
      <c r="N60" s="151"/>
      <c r="O60" s="151"/>
      <c r="P60" s="152"/>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16"/>
    </row>
    <row r="61" ht="15.75" customHeight="1">
      <c r="A61" s="149"/>
      <c r="B61" s="149"/>
      <c r="C61" s="119"/>
      <c r="D61" s="150"/>
      <c r="E61" s="151"/>
      <c r="F61" s="151"/>
      <c r="G61" s="150"/>
      <c r="H61" s="151"/>
      <c r="I61" s="151"/>
      <c r="J61" s="150"/>
      <c r="K61" s="151"/>
      <c r="L61" s="151"/>
      <c r="M61" s="150"/>
      <c r="N61" s="151"/>
      <c r="O61" s="151"/>
      <c r="P61" s="152"/>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6"/>
      <c r="AT61" s="116"/>
      <c r="AU61" s="116"/>
      <c r="AV61" s="116"/>
      <c r="AW61" s="116"/>
    </row>
    <row r="62" ht="15.75" customHeight="1">
      <c r="A62" s="149"/>
      <c r="B62" s="149"/>
      <c r="C62" s="119"/>
      <c r="D62" s="150"/>
      <c r="E62" s="151"/>
      <c r="F62" s="151"/>
      <c r="G62" s="150"/>
      <c r="H62" s="151"/>
      <c r="I62" s="151"/>
      <c r="J62" s="150"/>
      <c r="K62" s="151"/>
      <c r="L62" s="151"/>
      <c r="M62" s="150"/>
      <c r="N62" s="151"/>
      <c r="O62" s="151"/>
      <c r="P62" s="152"/>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row>
    <row r="63" ht="15.75" customHeight="1">
      <c r="A63" s="149"/>
      <c r="B63" s="149"/>
      <c r="C63" s="119"/>
      <c r="D63" s="150"/>
      <c r="E63" s="151"/>
      <c r="F63" s="151"/>
      <c r="G63" s="150"/>
      <c r="H63" s="151"/>
      <c r="I63" s="151"/>
      <c r="J63" s="150"/>
      <c r="K63" s="151"/>
      <c r="L63" s="151"/>
      <c r="M63" s="150"/>
      <c r="N63" s="151"/>
      <c r="O63" s="151"/>
      <c r="P63" s="152"/>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row>
    <row r="64" ht="15.75" customHeight="1">
      <c r="A64" s="149"/>
      <c r="B64" s="149"/>
      <c r="C64" s="119"/>
      <c r="D64" s="150"/>
      <c r="E64" s="151"/>
      <c r="F64" s="151"/>
      <c r="G64" s="150"/>
      <c r="H64" s="151"/>
      <c r="I64" s="151"/>
      <c r="J64" s="150"/>
      <c r="K64" s="151"/>
      <c r="L64" s="151"/>
      <c r="M64" s="150"/>
      <c r="N64" s="151"/>
      <c r="O64" s="151"/>
      <c r="P64" s="152"/>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row>
    <row r="65" ht="15.75" customHeight="1">
      <c r="A65" s="149"/>
      <c r="B65" s="149"/>
      <c r="C65" s="119"/>
      <c r="D65" s="150"/>
      <c r="E65" s="151"/>
      <c r="F65" s="151"/>
      <c r="G65" s="150"/>
      <c r="H65" s="151"/>
      <c r="I65" s="151"/>
      <c r="J65" s="150"/>
      <c r="K65" s="151"/>
      <c r="L65" s="151"/>
      <c r="M65" s="150"/>
      <c r="N65" s="151"/>
      <c r="O65" s="151"/>
      <c r="P65" s="152"/>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row>
    <row r="66" ht="15.75" customHeight="1">
      <c r="A66" s="149"/>
      <c r="B66" s="149"/>
      <c r="C66" s="119"/>
      <c r="D66" s="150"/>
      <c r="E66" s="151"/>
      <c r="F66" s="151"/>
      <c r="G66" s="150"/>
      <c r="H66" s="151"/>
      <c r="I66" s="151"/>
      <c r="J66" s="150"/>
      <c r="K66" s="151"/>
      <c r="L66" s="151"/>
      <c r="M66" s="150"/>
      <c r="N66" s="151"/>
      <c r="O66" s="151"/>
      <c r="P66" s="152"/>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row>
    <row r="67" ht="15.75" customHeight="1">
      <c r="A67" s="149"/>
      <c r="B67" s="149"/>
      <c r="C67" s="119"/>
      <c r="D67" s="150"/>
      <c r="E67" s="151"/>
      <c r="F67" s="151"/>
      <c r="G67" s="150"/>
      <c r="H67" s="151"/>
      <c r="I67" s="151"/>
      <c r="J67" s="150"/>
      <c r="K67" s="151"/>
      <c r="L67" s="151"/>
      <c r="M67" s="150"/>
      <c r="N67" s="151"/>
      <c r="O67" s="151"/>
      <c r="P67" s="152"/>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row>
    <row r="68" ht="15.75" customHeight="1">
      <c r="A68" s="149"/>
      <c r="B68" s="149"/>
      <c r="C68" s="119"/>
      <c r="D68" s="150"/>
      <c r="E68" s="151"/>
      <c r="F68" s="151"/>
      <c r="G68" s="150"/>
      <c r="H68" s="151"/>
      <c r="I68" s="151"/>
      <c r="J68" s="150"/>
      <c r="K68" s="151"/>
      <c r="L68" s="151"/>
      <c r="M68" s="150"/>
      <c r="N68" s="151"/>
      <c r="O68" s="151"/>
      <c r="P68" s="152"/>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row>
    <row r="69" ht="15.75" customHeight="1">
      <c r="A69" s="149"/>
      <c r="B69" s="149"/>
      <c r="C69" s="119"/>
      <c r="D69" s="150"/>
      <c r="E69" s="151"/>
      <c r="F69" s="151"/>
      <c r="G69" s="150"/>
      <c r="H69" s="151"/>
      <c r="I69" s="151"/>
      <c r="J69" s="150"/>
      <c r="K69" s="151"/>
      <c r="L69" s="151"/>
      <c r="M69" s="150"/>
      <c r="N69" s="151"/>
      <c r="O69" s="151"/>
      <c r="P69" s="152"/>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row>
    <row r="70" ht="15.75" customHeight="1">
      <c r="A70" s="149"/>
      <c r="B70" s="149"/>
      <c r="C70" s="119"/>
      <c r="D70" s="150"/>
      <c r="E70" s="151"/>
      <c r="F70" s="151"/>
      <c r="G70" s="150"/>
      <c r="H70" s="151"/>
      <c r="I70" s="151"/>
      <c r="J70" s="150"/>
      <c r="K70" s="151"/>
      <c r="L70" s="151"/>
      <c r="M70" s="150"/>
      <c r="N70" s="151"/>
      <c r="O70" s="151"/>
      <c r="P70" s="152"/>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row>
    <row r="71" ht="15.75" customHeight="1">
      <c r="A71" s="149"/>
      <c r="B71" s="149"/>
      <c r="C71" s="119"/>
      <c r="D71" s="150"/>
      <c r="E71" s="151"/>
      <c r="F71" s="151"/>
      <c r="G71" s="150"/>
      <c r="H71" s="151"/>
      <c r="I71" s="151"/>
      <c r="J71" s="150"/>
      <c r="K71" s="151"/>
      <c r="L71" s="151"/>
      <c r="M71" s="150"/>
      <c r="N71" s="151"/>
      <c r="O71" s="151"/>
      <c r="P71" s="152"/>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row>
    <row r="72" ht="15.75" customHeight="1">
      <c r="A72" s="149"/>
      <c r="B72" s="149"/>
      <c r="C72" s="119"/>
      <c r="D72" s="150"/>
      <c r="E72" s="151"/>
      <c r="F72" s="151"/>
      <c r="G72" s="150"/>
      <c r="H72" s="151"/>
      <c r="I72" s="151"/>
      <c r="J72" s="150"/>
      <c r="K72" s="151"/>
      <c r="L72" s="151"/>
      <c r="M72" s="150"/>
      <c r="N72" s="151"/>
      <c r="O72" s="151"/>
      <c r="P72" s="152"/>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row>
    <row r="73" ht="15.75" customHeight="1">
      <c r="A73" s="149"/>
      <c r="B73" s="149"/>
      <c r="C73" s="119"/>
      <c r="D73" s="150"/>
      <c r="E73" s="151"/>
      <c r="F73" s="151"/>
      <c r="G73" s="150"/>
      <c r="H73" s="151"/>
      <c r="I73" s="151"/>
      <c r="J73" s="150"/>
      <c r="K73" s="151"/>
      <c r="L73" s="151"/>
      <c r="M73" s="150"/>
      <c r="N73" s="151"/>
      <c r="O73" s="151"/>
      <c r="P73" s="152"/>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row>
    <row r="74" ht="18.75" customHeight="1">
      <c r="A74" s="153" t="s">
        <v>707</v>
      </c>
      <c r="B74" s="153" t="s">
        <v>708</v>
      </c>
      <c r="C74" s="119"/>
      <c r="D74" s="153" t="s">
        <v>564</v>
      </c>
      <c r="E74" s="153" t="s">
        <v>709</v>
      </c>
      <c r="F74" s="153" t="s">
        <v>710</v>
      </c>
      <c r="G74" s="153" t="s">
        <v>711</v>
      </c>
      <c r="H74" s="153" t="s">
        <v>712</v>
      </c>
      <c r="I74" s="153" t="s">
        <v>713</v>
      </c>
      <c r="J74" s="153" t="s">
        <v>714</v>
      </c>
      <c r="K74" s="153" t="s">
        <v>715</v>
      </c>
      <c r="L74" s="153" t="s">
        <v>716</v>
      </c>
      <c r="M74" s="153" t="s">
        <v>717</v>
      </c>
      <c r="N74" s="153" t="s">
        <v>718</v>
      </c>
      <c r="O74" s="153" t="s">
        <v>719</v>
      </c>
      <c r="P74" s="153" t="s">
        <v>720</v>
      </c>
      <c r="Q74" s="154" t="s">
        <v>721</v>
      </c>
      <c r="R74" s="154" t="s">
        <v>722</v>
      </c>
      <c r="S74" s="154" t="s">
        <v>723</v>
      </c>
      <c r="T74" s="154" t="s">
        <v>724</v>
      </c>
      <c r="U74" s="154" t="s">
        <v>725</v>
      </c>
      <c r="V74" s="154" t="s">
        <v>726</v>
      </c>
      <c r="W74" s="154" t="s">
        <v>727</v>
      </c>
      <c r="X74" s="154" t="s">
        <v>728</v>
      </c>
      <c r="Y74" s="154" t="s">
        <v>729</v>
      </c>
      <c r="Z74" s="154" t="s">
        <v>730</v>
      </c>
      <c r="AA74" s="154" t="s">
        <v>731</v>
      </c>
      <c r="AB74" s="154" t="s">
        <v>732</v>
      </c>
      <c r="AC74" s="154" t="s">
        <v>733</v>
      </c>
      <c r="AD74" s="154" t="s">
        <v>734</v>
      </c>
      <c r="AE74" s="154" t="s">
        <v>735</v>
      </c>
      <c r="AF74" s="154" t="s">
        <v>736</v>
      </c>
      <c r="AG74" s="154" t="s">
        <v>737</v>
      </c>
      <c r="AH74" s="154" t="s">
        <v>738</v>
      </c>
      <c r="AI74" s="154" t="s">
        <v>739</v>
      </c>
      <c r="AJ74" s="154" t="s">
        <v>740</v>
      </c>
      <c r="AK74" s="154" t="s">
        <v>741</v>
      </c>
      <c r="AL74" s="154" t="s">
        <v>742</v>
      </c>
      <c r="AM74" s="154" t="s">
        <v>743</v>
      </c>
      <c r="AN74" s="154" t="s">
        <v>744</v>
      </c>
      <c r="AO74" s="154" t="s">
        <v>745</v>
      </c>
      <c r="AP74" s="154" t="s">
        <v>746</v>
      </c>
      <c r="AQ74" s="154" t="s">
        <v>747</v>
      </c>
      <c r="AR74" s="154" t="s">
        <v>748</v>
      </c>
      <c r="AS74" s="154" t="s">
        <v>749</v>
      </c>
      <c r="AT74" s="154" t="s">
        <v>750</v>
      </c>
      <c r="AU74" s="154" t="s">
        <v>751</v>
      </c>
      <c r="AV74" s="154" t="s">
        <v>752</v>
      </c>
      <c r="AW74" s="154" t="s">
        <v>753</v>
      </c>
    </row>
    <row r="75" ht="15.75" customHeight="1">
      <c r="A75" s="149" t="s">
        <v>82</v>
      </c>
      <c r="B75" s="149" t="s">
        <v>562</v>
      </c>
      <c r="C75" s="149" t="s">
        <v>86</v>
      </c>
      <c r="D75" s="151">
        <v>0.0</v>
      </c>
      <c r="E75" s="155">
        <v>59200.0</v>
      </c>
      <c r="F75" s="155">
        <v>65.0</v>
      </c>
      <c r="G75" s="155">
        <v>10.9797297297297</v>
      </c>
      <c r="H75" s="155">
        <v>40.0</v>
      </c>
      <c r="I75" s="155">
        <v>1.0</v>
      </c>
      <c r="J75" s="155">
        <v>55.0</v>
      </c>
      <c r="K75" s="155"/>
      <c r="L75" s="155">
        <v>0.846153846153846</v>
      </c>
      <c r="M75" s="155"/>
      <c r="N75" s="155">
        <v>8.0</v>
      </c>
      <c r="O75" s="155">
        <v>2.0</v>
      </c>
      <c r="P75" s="156">
        <v>14.0</v>
      </c>
      <c r="Q75" s="157">
        <v>8.0</v>
      </c>
      <c r="R75" s="157">
        <v>14535.0</v>
      </c>
      <c r="S75" s="157">
        <v>62530.0</v>
      </c>
      <c r="T75" s="157">
        <v>38532.5</v>
      </c>
      <c r="U75" s="157">
        <v>7267.5</v>
      </c>
      <c r="V75" s="157">
        <v>4466.42857142857</v>
      </c>
      <c r="W75" s="157">
        <v>5866.96428571429</v>
      </c>
      <c r="X75" s="157">
        <v>0.0</v>
      </c>
      <c r="Y75" s="157"/>
      <c r="Z75" s="157">
        <v>70.0</v>
      </c>
      <c r="AA75" s="157">
        <v>390.0</v>
      </c>
      <c r="AB75" s="157"/>
      <c r="AC75" s="157"/>
      <c r="AD75" s="157">
        <v>0.0</v>
      </c>
      <c r="AE75" s="157">
        <v>0.0</v>
      </c>
      <c r="AF75" s="157"/>
      <c r="AG75" s="157"/>
      <c r="AH75" s="157"/>
      <c r="AI75" s="157"/>
      <c r="AJ75" s="157"/>
      <c r="AK75" s="157"/>
      <c r="AL75" s="157"/>
      <c r="AM75" s="116" t="s">
        <v>754</v>
      </c>
      <c r="AN75" s="116" t="s">
        <v>102</v>
      </c>
      <c r="AO75" s="116" t="s">
        <v>103</v>
      </c>
      <c r="AP75" s="116" t="s">
        <v>755</v>
      </c>
      <c r="AQ75" s="116">
        <v>17.0</v>
      </c>
      <c r="AR75" s="116">
        <v>5.0</v>
      </c>
      <c r="AS75" s="116">
        <v>3.0</v>
      </c>
      <c r="AT75" s="116">
        <v>1.0</v>
      </c>
      <c r="AU75" s="116">
        <v>5.0</v>
      </c>
      <c r="AV75" s="116">
        <v>7.0</v>
      </c>
      <c r="AW75" s="116">
        <v>2.0</v>
      </c>
    </row>
    <row r="76" ht="15.75" customHeight="1">
      <c r="A76" s="149" t="s">
        <v>113</v>
      </c>
      <c r="B76" s="149" t="s">
        <v>563</v>
      </c>
      <c r="C76" s="149" t="s">
        <v>116</v>
      </c>
      <c r="D76" s="151">
        <v>1.0</v>
      </c>
      <c r="E76" s="155">
        <v>41000.0</v>
      </c>
      <c r="F76" s="155">
        <v>29.0</v>
      </c>
      <c r="G76" s="155">
        <v>7.07317073170732</v>
      </c>
      <c r="H76" s="155">
        <v>23.0</v>
      </c>
      <c r="I76" s="155">
        <v>0.0</v>
      </c>
      <c r="J76" s="155">
        <v>2.0</v>
      </c>
      <c r="K76" s="155">
        <v>24.0</v>
      </c>
      <c r="L76" s="155">
        <v>0.0689655172413793</v>
      </c>
      <c r="M76" s="155">
        <v>0.827586206896552</v>
      </c>
      <c r="N76" s="155">
        <v>1.0</v>
      </c>
      <c r="O76" s="155">
        <v>4.0</v>
      </c>
      <c r="P76" s="156">
        <v>4.0</v>
      </c>
      <c r="Q76" s="157">
        <v>4.0</v>
      </c>
      <c r="R76" s="157"/>
      <c r="S76" s="157"/>
      <c r="T76" s="157"/>
      <c r="U76" s="157"/>
      <c r="V76" s="157"/>
      <c r="W76" s="157"/>
      <c r="X76" s="157">
        <v>1.0</v>
      </c>
      <c r="Y76" s="157" t="s">
        <v>756</v>
      </c>
      <c r="Z76" s="157">
        <v>26.0</v>
      </c>
      <c r="AA76" s="157">
        <v>300.0</v>
      </c>
      <c r="AB76" s="157">
        <v>870.0</v>
      </c>
      <c r="AC76" s="157">
        <v>585.0</v>
      </c>
      <c r="AD76" s="157">
        <v>1.0</v>
      </c>
      <c r="AE76" s="157">
        <v>2.0</v>
      </c>
      <c r="AF76" s="157"/>
      <c r="AG76" s="157">
        <v>794.0</v>
      </c>
      <c r="AH76" s="157">
        <v>2247.0</v>
      </c>
      <c r="AI76" s="157">
        <v>1520.5</v>
      </c>
      <c r="AJ76" s="157">
        <v>9528.0</v>
      </c>
      <c r="AK76" s="157">
        <v>26964.0</v>
      </c>
      <c r="AL76" s="157">
        <v>18246.0</v>
      </c>
      <c r="AM76" s="116"/>
      <c r="AN76" s="116" t="s">
        <v>103</v>
      </c>
      <c r="AO76" s="116" t="s">
        <v>129</v>
      </c>
      <c r="AP76" s="116" t="s">
        <v>757</v>
      </c>
      <c r="AQ76" s="116">
        <v>5.0</v>
      </c>
      <c r="AR76" s="116">
        <v>1.0</v>
      </c>
      <c r="AS76" s="116">
        <v>2.0</v>
      </c>
      <c r="AT76" s="116">
        <v>1.0</v>
      </c>
      <c r="AU76" s="116">
        <v>6.0</v>
      </c>
      <c r="AV76" s="116">
        <v>4.0</v>
      </c>
      <c r="AW76" s="116">
        <v>4.0</v>
      </c>
    </row>
    <row r="77" ht="15.75" customHeight="1">
      <c r="A77" s="149" t="s">
        <v>525</v>
      </c>
      <c r="B77" s="149" t="s">
        <v>562</v>
      </c>
      <c r="C77" s="149" t="s">
        <v>526</v>
      </c>
      <c r="D77" s="151">
        <v>0.0</v>
      </c>
      <c r="E77" s="155"/>
      <c r="F77" s="155">
        <v>14.0</v>
      </c>
      <c r="G77" s="155"/>
      <c r="H77" s="155">
        <v>30.0</v>
      </c>
      <c r="I77" s="155">
        <v>1.0</v>
      </c>
      <c r="J77" s="155"/>
      <c r="K77" s="155"/>
      <c r="L77" s="155"/>
      <c r="M77" s="155"/>
      <c r="N77" s="155">
        <v>14.0</v>
      </c>
      <c r="O77" s="155">
        <v>4.0</v>
      </c>
      <c r="P77" s="156">
        <v>21.0</v>
      </c>
      <c r="Q77" s="157">
        <v>12.5</v>
      </c>
      <c r="R77" s="157">
        <v>6400.0</v>
      </c>
      <c r="S77" s="157">
        <v>81900.0</v>
      </c>
      <c r="T77" s="157">
        <v>44150.0</v>
      </c>
      <c r="U77" s="157">
        <v>1600.0</v>
      </c>
      <c r="V77" s="157">
        <v>3900.0</v>
      </c>
      <c r="W77" s="157">
        <v>2750.0</v>
      </c>
      <c r="X77" s="157">
        <v>1.0</v>
      </c>
      <c r="Y77" s="157" t="s">
        <v>758</v>
      </c>
      <c r="Z77" s="157">
        <v>44.0</v>
      </c>
      <c r="AA77" s="157"/>
      <c r="AB77" s="157"/>
      <c r="AC77" s="157"/>
      <c r="AD77" s="157">
        <v>0.0</v>
      </c>
      <c r="AE77" s="157"/>
      <c r="AF77" s="157"/>
      <c r="AG77" s="157"/>
      <c r="AH77" s="157"/>
      <c r="AI77" s="157"/>
      <c r="AJ77" s="157"/>
      <c r="AK77" s="157"/>
      <c r="AL77" s="157"/>
      <c r="AM77" s="116" t="s">
        <v>759</v>
      </c>
      <c r="AN77" s="116" t="s">
        <v>102</v>
      </c>
      <c r="AO77" s="116" t="s">
        <v>440</v>
      </c>
      <c r="AP77" s="116" t="s">
        <v>760</v>
      </c>
      <c r="AQ77" s="116">
        <v>11.0</v>
      </c>
      <c r="AR77" s="116">
        <v>2.0</v>
      </c>
      <c r="AS77" s="116">
        <v>6.0</v>
      </c>
      <c r="AT77" s="116">
        <v>1.0</v>
      </c>
      <c r="AU77" s="116">
        <v>3.0</v>
      </c>
      <c r="AV77" s="116">
        <v>0.0</v>
      </c>
      <c r="AW77" s="116">
        <v>4.0</v>
      </c>
    </row>
    <row r="78" ht="15.75" customHeight="1">
      <c r="A78" s="149" t="s">
        <v>546</v>
      </c>
      <c r="B78" s="149" t="s">
        <v>563</v>
      </c>
      <c r="C78" s="149" t="s">
        <v>116</v>
      </c>
      <c r="D78" s="151">
        <v>1.0</v>
      </c>
      <c r="E78" s="155">
        <v>40000.0</v>
      </c>
      <c r="F78" s="155"/>
      <c r="G78" s="155"/>
      <c r="H78" s="155"/>
      <c r="I78" s="155">
        <v>0.0</v>
      </c>
      <c r="J78" s="155"/>
      <c r="K78" s="155"/>
      <c r="L78" s="155"/>
      <c r="M78" s="155"/>
      <c r="N78" s="155"/>
      <c r="O78" s="155"/>
      <c r="P78" s="156"/>
      <c r="Q78" s="157"/>
      <c r="R78" s="157"/>
      <c r="S78" s="157"/>
      <c r="T78" s="157"/>
      <c r="U78" s="157"/>
      <c r="V78" s="157"/>
      <c r="W78" s="157"/>
      <c r="X78" s="157">
        <v>0.0</v>
      </c>
      <c r="Y78" s="157"/>
      <c r="Z78" s="157"/>
      <c r="AA78" s="157"/>
      <c r="AB78" s="157"/>
      <c r="AC78" s="157"/>
      <c r="AD78" s="157">
        <v>0.0</v>
      </c>
      <c r="AE78" s="157"/>
      <c r="AF78" s="157"/>
      <c r="AG78" s="157"/>
      <c r="AH78" s="157"/>
      <c r="AI78" s="157"/>
      <c r="AJ78" s="157"/>
      <c r="AK78" s="157"/>
      <c r="AL78" s="157"/>
      <c r="AM78" s="116"/>
      <c r="AN78" s="116"/>
      <c r="AO78" s="116"/>
      <c r="AP78" s="116"/>
      <c r="AQ78" s="116"/>
      <c r="AR78" s="116"/>
      <c r="AS78" s="116"/>
      <c r="AT78" s="116"/>
      <c r="AU78" s="116"/>
      <c r="AV78" s="116"/>
      <c r="AW78" s="116"/>
    </row>
    <row r="79" ht="15.75" customHeight="1">
      <c r="A79" s="149" t="s">
        <v>140</v>
      </c>
      <c r="B79" s="149" t="s">
        <v>562</v>
      </c>
      <c r="C79" s="149" t="s">
        <v>142</v>
      </c>
      <c r="D79" s="151">
        <v>0.0</v>
      </c>
      <c r="E79" s="155">
        <v>53819.55</v>
      </c>
      <c r="F79" s="155">
        <v>97.0</v>
      </c>
      <c r="G79" s="155">
        <v>18.0231904577426</v>
      </c>
      <c r="H79" s="155">
        <v>46.0</v>
      </c>
      <c r="I79" s="155">
        <v>0.0</v>
      </c>
      <c r="J79" s="155">
        <v>6.0</v>
      </c>
      <c r="K79" s="155">
        <v>94.0</v>
      </c>
      <c r="L79" s="155">
        <v>0.0618556701030928</v>
      </c>
      <c r="M79" s="155">
        <v>0.969072164948454</v>
      </c>
      <c r="N79" s="155">
        <v>5.0</v>
      </c>
      <c r="O79" s="155">
        <v>5.0</v>
      </c>
      <c r="P79" s="156">
        <v>7.0</v>
      </c>
      <c r="Q79" s="157">
        <v>6.0</v>
      </c>
      <c r="R79" s="157">
        <v>6200.0</v>
      </c>
      <c r="S79" s="157">
        <v>8900.0</v>
      </c>
      <c r="T79" s="157">
        <v>7550.0</v>
      </c>
      <c r="U79" s="157">
        <v>1240.0</v>
      </c>
      <c r="V79" s="157">
        <v>1271.42857142857</v>
      </c>
      <c r="W79" s="157">
        <v>1255.71428571429</v>
      </c>
      <c r="X79" s="157">
        <v>0.0</v>
      </c>
      <c r="Y79" s="157" t="s">
        <v>761</v>
      </c>
      <c r="Z79" s="157">
        <v>67.0</v>
      </c>
      <c r="AA79" s="157"/>
      <c r="AB79" s="157"/>
      <c r="AC79" s="157"/>
      <c r="AD79" s="157">
        <v>0.0</v>
      </c>
      <c r="AE79" s="157">
        <v>0.0</v>
      </c>
      <c r="AF79" s="157"/>
      <c r="AG79" s="157"/>
      <c r="AH79" s="157"/>
      <c r="AI79" s="157"/>
      <c r="AJ79" s="157"/>
      <c r="AK79" s="157"/>
      <c r="AL79" s="157"/>
      <c r="AM79" s="116"/>
      <c r="AN79" s="116" t="s">
        <v>102</v>
      </c>
      <c r="AO79" s="116" t="s">
        <v>103</v>
      </c>
      <c r="AP79" s="116" t="s">
        <v>762</v>
      </c>
      <c r="AQ79" s="116">
        <v>11.0</v>
      </c>
      <c r="AR79" s="116">
        <v>2.0</v>
      </c>
      <c r="AS79" s="116">
        <v>3.0</v>
      </c>
      <c r="AT79" s="116">
        <v>2.0</v>
      </c>
      <c r="AU79" s="116">
        <v>9.0</v>
      </c>
      <c r="AV79" s="116">
        <v>12.0</v>
      </c>
      <c r="AW79" s="116">
        <v>7.0</v>
      </c>
    </row>
    <row r="80" ht="15.75" customHeight="1">
      <c r="A80" s="149" t="s">
        <v>164</v>
      </c>
      <c r="B80" s="149" t="s">
        <v>563</v>
      </c>
      <c r="C80" s="149" t="s">
        <v>166</v>
      </c>
      <c r="D80" s="151">
        <v>0.0</v>
      </c>
      <c r="E80" s="155">
        <v>43000.0</v>
      </c>
      <c r="F80" s="155">
        <v>28.0</v>
      </c>
      <c r="G80" s="155">
        <v>6.51162790697674</v>
      </c>
      <c r="H80" s="155">
        <v>22.0</v>
      </c>
      <c r="I80" s="155">
        <v>0.0</v>
      </c>
      <c r="J80" s="155">
        <v>2.0</v>
      </c>
      <c r="K80" s="155"/>
      <c r="L80" s="155">
        <v>0.0714285714285714</v>
      </c>
      <c r="M80" s="155"/>
      <c r="N80" s="155">
        <v>7.0</v>
      </c>
      <c r="O80" s="155">
        <v>1.0</v>
      </c>
      <c r="P80" s="156">
        <v>6.0</v>
      </c>
      <c r="Q80" s="157">
        <v>3.5</v>
      </c>
      <c r="R80" s="157">
        <v>2400.0</v>
      </c>
      <c r="S80" s="157">
        <v>4600.0</v>
      </c>
      <c r="T80" s="157">
        <v>3500.0</v>
      </c>
      <c r="U80" s="157">
        <v>2400.0</v>
      </c>
      <c r="V80" s="157">
        <v>766.666666666667</v>
      </c>
      <c r="W80" s="157">
        <v>1583.33333333333</v>
      </c>
      <c r="X80" s="157">
        <v>0.0</v>
      </c>
      <c r="Y80" s="157" t="s">
        <v>763</v>
      </c>
      <c r="Z80" s="157">
        <v>60.0</v>
      </c>
      <c r="AA80" s="157">
        <v>33.0</v>
      </c>
      <c r="AB80" s="157">
        <v>352.0</v>
      </c>
      <c r="AC80" s="157">
        <v>192.5</v>
      </c>
      <c r="AD80" s="157">
        <v>1.0</v>
      </c>
      <c r="AE80" s="157">
        <v>2.0</v>
      </c>
      <c r="AF80" s="157"/>
      <c r="AG80" s="157">
        <v>400.0</v>
      </c>
      <c r="AH80" s="157">
        <v>2600.0</v>
      </c>
      <c r="AI80" s="157">
        <v>1500.0</v>
      </c>
      <c r="AJ80" s="157">
        <v>4800.0</v>
      </c>
      <c r="AK80" s="157">
        <v>31200.0</v>
      </c>
      <c r="AL80" s="157">
        <v>18000.0</v>
      </c>
      <c r="AM80" s="116"/>
      <c r="AN80" s="116" t="s">
        <v>102</v>
      </c>
      <c r="AO80" s="116" t="s">
        <v>103</v>
      </c>
      <c r="AP80" s="116" t="s">
        <v>764</v>
      </c>
      <c r="AQ80" s="116">
        <v>9.0</v>
      </c>
      <c r="AR80" s="116">
        <v>1.0</v>
      </c>
      <c r="AS80" s="116">
        <v>1.0</v>
      </c>
      <c r="AT80" s="116">
        <v>1.0</v>
      </c>
      <c r="AU80" s="116">
        <v>4.0</v>
      </c>
      <c r="AV80" s="116">
        <v>3.0</v>
      </c>
      <c r="AW80" s="116">
        <v>3.0</v>
      </c>
    </row>
    <row r="81" ht="15.75" customHeight="1">
      <c r="A81" s="149" t="s">
        <v>189</v>
      </c>
      <c r="B81" s="149" t="s">
        <v>562</v>
      </c>
      <c r="C81" s="149" t="s">
        <v>191</v>
      </c>
      <c r="D81" s="151">
        <v>0.0</v>
      </c>
      <c r="E81" s="155">
        <v>86111.28</v>
      </c>
      <c r="F81" s="155">
        <v>90.0</v>
      </c>
      <c r="G81" s="155">
        <v>10.4515924046188</v>
      </c>
      <c r="H81" s="155">
        <v>54.0</v>
      </c>
      <c r="I81" s="155">
        <v>0.0</v>
      </c>
      <c r="J81" s="155">
        <v>30.0</v>
      </c>
      <c r="K81" s="155">
        <v>320.0</v>
      </c>
      <c r="L81" s="155">
        <v>0.333333333333333</v>
      </c>
      <c r="M81" s="155">
        <v>3.55555555555556</v>
      </c>
      <c r="N81" s="155">
        <v>9.0</v>
      </c>
      <c r="O81" s="155">
        <v>3.0</v>
      </c>
      <c r="P81" s="156">
        <v>14.0</v>
      </c>
      <c r="Q81" s="157">
        <v>8.5</v>
      </c>
      <c r="R81" s="157">
        <v>3130.0</v>
      </c>
      <c r="S81" s="157">
        <v>23660.0</v>
      </c>
      <c r="T81" s="157">
        <v>13395.0</v>
      </c>
      <c r="U81" s="157">
        <v>1043.33333333333</v>
      </c>
      <c r="V81" s="157">
        <v>1690.0</v>
      </c>
      <c r="W81" s="157">
        <v>1366.66666666667</v>
      </c>
      <c r="X81" s="157">
        <v>1.0</v>
      </c>
      <c r="Y81" s="157" t="s">
        <v>765</v>
      </c>
      <c r="Z81" s="157">
        <v>210.0</v>
      </c>
      <c r="AA81" s="157">
        <v>43.0</v>
      </c>
      <c r="AB81" s="157">
        <v>9600.0</v>
      </c>
      <c r="AC81" s="157">
        <v>4821.5</v>
      </c>
      <c r="AD81" s="157">
        <v>0.0</v>
      </c>
      <c r="AE81" s="157">
        <v>0.0</v>
      </c>
      <c r="AF81" s="157"/>
      <c r="AG81" s="157"/>
      <c r="AH81" s="157"/>
      <c r="AI81" s="157"/>
      <c r="AJ81" s="157"/>
      <c r="AK81" s="157"/>
      <c r="AL81" s="157"/>
      <c r="AM81" s="116"/>
      <c r="AN81" s="116" t="s">
        <v>102</v>
      </c>
      <c r="AO81" s="116" t="s">
        <v>103</v>
      </c>
      <c r="AP81" s="116" t="s">
        <v>766</v>
      </c>
      <c r="AQ81" s="116">
        <v>14.0</v>
      </c>
      <c r="AR81" s="116">
        <v>1.0</v>
      </c>
      <c r="AS81" s="116">
        <v>4.0</v>
      </c>
      <c r="AT81" s="116">
        <v>3.0</v>
      </c>
      <c r="AU81" s="116">
        <v>11.0</v>
      </c>
      <c r="AV81" s="116">
        <v>18.0</v>
      </c>
      <c r="AW81" s="116">
        <v>3.0</v>
      </c>
    </row>
    <row r="82" ht="15.75" customHeight="1">
      <c r="A82" s="149" t="s">
        <v>209</v>
      </c>
      <c r="B82" s="149" t="s">
        <v>562</v>
      </c>
      <c r="C82" s="149" t="s">
        <v>212</v>
      </c>
      <c r="D82" s="151">
        <v>0.0</v>
      </c>
      <c r="E82" s="155"/>
      <c r="F82" s="155">
        <v>110.0</v>
      </c>
      <c r="G82" s="155"/>
      <c r="H82" s="155"/>
      <c r="I82" s="155">
        <v>0.0</v>
      </c>
      <c r="J82" s="155"/>
      <c r="K82" s="155"/>
      <c r="L82" s="155"/>
      <c r="M82" s="155"/>
      <c r="N82" s="155"/>
      <c r="O82" s="155"/>
      <c r="P82" s="156"/>
      <c r="Q82" s="157"/>
      <c r="R82" s="157"/>
      <c r="S82" s="157"/>
      <c r="T82" s="157"/>
      <c r="U82" s="157"/>
      <c r="V82" s="157"/>
      <c r="W82" s="157"/>
      <c r="X82" s="157">
        <v>1.0</v>
      </c>
      <c r="Y82" s="157" t="s">
        <v>767</v>
      </c>
      <c r="Z82" s="157"/>
      <c r="AA82" s="157"/>
      <c r="AB82" s="157"/>
      <c r="AC82" s="157"/>
      <c r="AD82" s="157">
        <v>1.0</v>
      </c>
      <c r="AE82" s="157">
        <v>1.0</v>
      </c>
      <c r="AF82" s="157"/>
      <c r="AG82" s="157"/>
      <c r="AH82" s="157"/>
      <c r="AI82" s="157"/>
      <c r="AJ82" s="157"/>
      <c r="AK82" s="157"/>
      <c r="AL82" s="157"/>
      <c r="AM82" s="116"/>
      <c r="AN82" s="116" t="s">
        <v>102</v>
      </c>
      <c r="AO82" s="116" t="s">
        <v>223</v>
      </c>
      <c r="AP82" s="116" t="s">
        <v>225</v>
      </c>
      <c r="AQ82" s="116"/>
      <c r="AR82" s="116"/>
      <c r="AS82" s="116"/>
      <c r="AT82" s="116"/>
      <c r="AU82" s="116"/>
      <c r="AV82" s="116"/>
      <c r="AW82" s="116"/>
    </row>
    <row r="83" ht="15.75" customHeight="1">
      <c r="A83" s="149" t="s">
        <v>236</v>
      </c>
      <c r="B83" s="149" t="s">
        <v>562</v>
      </c>
      <c r="C83" s="149" t="s">
        <v>238</v>
      </c>
      <c r="D83" s="151">
        <v>0.0</v>
      </c>
      <c r="E83" s="155">
        <v>32291.73</v>
      </c>
      <c r="F83" s="155">
        <v>48.0</v>
      </c>
      <c r="G83" s="155">
        <v>14.8644869754578</v>
      </c>
      <c r="H83" s="155">
        <v>38.0</v>
      </c>
      <c r="I83" s="155">
        <v>0.0</v>
      </c>
      <c r="J83" s="155">
        <v>8.0</v>
      </c>
      <c r="K83" s="155">
        <v>42.0</v>
      </c>
      <c r="L83" s="155">
        <v>0.166666666666667</v>
      </c>
      <c r="M83" s="155">
        <v>0.875</v>
      </c>
      <c r="N83" s="155">
        <v>10.0</v>
      </c>
      <c r="O83" s="155">
        <v>7.0</v>
      </c>
      <c r="P83" s="156">
        <v>21.0</v>
      </c>
      <c r="Q83" s="157">
        <v>14.0</v>
      </c>
      <c r="R83" s="157">
        <v>3200.0</v>
      </c>
      <c r="S83" s="157">
        <v>8600.0</v>
      </c>
      <c r="T83" s="157">
        <v>5900.0</v>
      </c>
      <c r="U83" s="157">
        <v>457.142857142857</v>
      </c>
      <c r="V83" s="157">
        <v>409.52380952381</v>
      </c>
      <c r="W83" s="157">
        <v>433.333333333333</v>
      </c>
      <c r="X83" s="157">
        <v>0.0</v>
      </c>
      <c r="Y83" s="157" t="s">
        <v>768</v>
      </c>
      <c r="Z83" s="157">
        <v>90.0</v>
      </c>
      <c r="AA83" s="157">
        <v>70.0</v>
      </c>
      <c r="AB83" s="157">
        <v>2171.0</v>
      </c>
      <c r="AC83" s="157">
        <v>1120.5</v>
      </c>
      <c r="AD83" s="157">
        <v>0.0</v>
      </c>
      <c r="AE83" s="157">
        <v>0.0</v>
      </c>
      <c r="AF83" s="157"/>
      <c r="AG83" s="157"/>
      <c r="AH83" s="157"/>
      <c r="AI83" s="157"/>
      <c r="AJ83" s="157"/>
      <c r="AK83" s="157"/>
      <c r="AL83" s="157"/>
      <c r="AM83" s="116"/>
      <c r="AN83" s="116" t="s">
        <v>102</v>
      </c>
      <c r="AO83" s="116" t="s">
        <v>103</v>
      </c>
      <c r="AP83" s="116" t="s">
        <v>769</v>
      </c>
      <c r="AQ83" s="116">
        <v>13.0</v>
      </c>
      <c r="AR83" s="116">
        <v>3.0</v>
      </c>
      <c r="AS83" s="116">
        <v>4.0</v>
      </c>
      <c r="AT83" s="116">
        <v>1.0</v>
      </c>
      <c r="AU83" s="116">
        <v>3.0</v>
      </c>
      <c r="AV83" s="116">
        <v>10.0</v>
      </c>
      <c r="AW83" s="116">
        <v>4.0</v>
      </c>
    </row>
    <row r="84" ht="15.75" customHeight="1">
      <c r="A84" s="149" t="s">
        <v>257</v>
      </c>
      <c r="B84" s="149" t="s">
        <v>563</v>
      </c>
      <c r="C84" s="149" t="s">
        <v>259</v>
      </c>
      <c r="D84" s="151">
        <v>0.0</v>
      </c>
      <c r="E84" s="155">
        <v>21528.0</v>
      </c>
      <c r="F84" s="155">
        <v>14.0</v>
      </c>
      <c r="G84" s="155">
        <v>6.50315867707172</v>
      </c>
      <c r="H84" s="155">
        <v>24.0</v>
      </c>
      <c r="I84" s="155">
        <v>1.0</v>
      </c>
      <c r="J84" s="155">
        <v>16.0</v>
      </c>
      <c r="K84" s="155">
        <v>12.0</v>
      </c>
      <c r="L84" s="155">
        <v>1.14285714285714</v>
      </c>
      <c r="M84" s="155">
        <v>0.857142857142857</v>
      </c>
      <c r="N84" s="155">
        <v>4.0</v>
      </c>
      <c r="O84" s="155">
        <v>7.0</v>
      </c>
      <c r="P84" s="156">
        <v>21.0</v>
      </c>
      <c r="Q84" s="157">
        <v>14.0</v>
      </c>
      <c r="R84" s="157">
        <v>3150.0</v>
      </c>
      <c r="S84" s="157">
        <v>11340.0</v>
      </c>
      <c r="T84" s="157">
        <v>7245.0</v>
      </c>
      <c r="U84" s="157">
        <v>450.0</v>
      </c>
      <c r="V84" s="157">
        <v>540.0</v>
      </c>
      <c r="W84" s="157">
        <v>495.0</v>
      </c>
      <c r="X84" s="157">
        <v>0.0</v>
      </c>
      <c r="Y84" s="157" t="s">
        <v>770</v>
      </c>
      <c r="Z84" s="157">
        <v>70.0</v>
      </c>
      <c r="AA84" s="157">
        <v>25.0</v>
      </c>
      <c r="AB84" s="157">
        <v>3717.0</v>
      </c>
      <c r="AC84" s="157">
        <v>1871.0</v>
      </c>
      <c r="AD84" s="157">
        <v>1.0</v>
      </c>
      <c r="AE84" s="157">
        <v>6.0</v>
      </c>
      <c r="AF84" s="157">
        <v>2016.0</v>
      </c>
      <c r="AG84" s="157">
        <v>453.57</v>
      </c>
      <c r="AH84" s="157">
        <v>690.0</v>
      </c>
      <c r="AI84" s="157">
        <v>571.785</v>
      </c>
      <c r="AJ84" s="157">
        <v>5442.84</v>
      </c>
      <c r="AK84" s="157">
        <v>8280.0</v>
      </c>
      <c r="AL84" s="157">
        <v>6861.42</v>
      </c>
      <c r="AM84" s="116" t="s">
        <v>771</v>
      </c>
      <c r="AN84" s="116" t="s">
        <v>129</v>
      </c>
      <c r="AO84" s="116" t="s">
        <v>103</v>
      </c>
      <c r="AP84" s="116" t="s">
        <v>772</v>
      </c>
      <c r="AQ84" s="116">
        <v>4.0</v>
      </c>
      <c r="AR84" s="116">
        <v>1.0</v>
      </c>
      <c r="AS84" s="116">
        <v>0.0</v>
      </c>
      <c r="AT84" s="116">
        <v>3.0</v>
      </c>
      <c r="AU84" s="116">
        <v>3.0</v>
      </c>
      <c r="AV84" s="116">
        <v>4.0</v>
      </c>
      <c r="AW84" s="116">
        <v>9.0</v>
      </c>
    </row>
    <row r="85" ht="15.75" customHeight="1">
      <c r="A85" s="149" t="s">
        <v>281</v>
      </c>
      <c r="B85" s="149" t="s">
        <v>563</v>
      </c>
      <c r="C85" s="149" t="s">
        <v>259</v>
      </c>
      <c r="D85" s="151">
        <v>0.0</v>
      </c>
      <c r="E85" s="155"/>
      <c r="F85" s="155">
        <v>0.0</v>
      </c>
      <c r="G85" s="155"/>
      <c r="H85" s="155">
        <v>19.0</v>
      </c>
      <c r="I85" s="155">
        <v>1.0</v>
      </c>
      <c r="J85" s="155">
        <v>0.0</v>
      </c>
      <c r="K85" s="155">
        <v>15.0</v>
      </c>
      <c r="L85" s="155"/>
      <c r="M85" s="155"/>
      <c r="N85" s="155">
        <v>8.0</v>
      </c>
      <c r="O85" s="155">
        <v>1.0</v>
      </c>
      <c r="P85" s="156">
        <v>84.0</v>
      </c>
      <c r="Q85" s="157">
        <v>42.5</v>
      </c>
      <c r="R85" s="157">
        <v>542.0</v>
      </c>
      <c r="S85" s="157">
        <v>7484.0</v>
      </c>
      <c r="T85" s="157">
        <v>4013.0</v>
      </c>
      <c r="U85" s="157">
        <v>542.0</v>
      </c>
      <c r="V85" s="157">
        <v>89.0952380952381</v>
      </c>
      <c r="W85" s="157">
        <v>315.547619047619</v>
      </c>
      <c r="X85" s="157">
        <v>1.0</v>
      </c>
      <c r="Y85" s="157" t="s">
        <v>773</v>
      </c>
      <c r="Z85" s="157">
        <v>40.0</v>
      </c>
      <c r="AA85" s="157">
        <v>107.0</v>
      </c>
      <c r="AB85" s="157">
        <v>876.0</v>
      </c>
      <c r="AC85" s="157">
        <v>491.5</v>
      </c>
      <c r="AD85" s="157">
        <v>1.0</v>
      </c>
      <c r="AE85" s="157">
        <v>1.0</v>
      </c>
      <c r="AF85" s="157">
        <v>945.0</v>
      </c>
      <c r="AG85" s="157">
        <v>414.75</v>
      </c>
      <c r="AH85" s="157">
        <v>414.75</v>
      </c>
      <c r="AI85" s="157">
        <v>414.75</v>
      </c>
      <c r="AJ85" s="157">
        <v>4977.0</v>
      </c>
      <c r="AK85" s="157">
        <v>4977.0</v>
      </c>
      <c r="AL85" s="157">
        <v>4977.0</v>
      </c>
      <c r="AM85" s="116" t="s">
        <v>774</v>
      </c>
      <c r="AN85" s="116" t="s">
        <v>103</v>
      </c>
      <c r="AO85" s="116" t="s">
        <v>129</v>
      </c>
      <c r="AP85" s="116" t="s">
        <v>775</v>
      </c>
      <c r="AQ85" s="116">
        <v>1.0</v>
      </c>
      <c r="AR85" s="116">
        <v>0.0</v>
      </c>
      <c r="AS85" s="116">
        <v>0.0</v>
      </c>
      <c r="AT85" s="116">
        <v>0.0</v>
      </c>
      <c r="AU85" s="116">
        <v>7.0</v>
      </c>
      <c r="AV85" s="116">
        <v>3.0</v>
      </c>
      <c r="AW85" s="116">
        <v>8.0</v>
      </c>
    </row>
    <row r="86" ht="15.75" customHeight="1">
      <c r="A86" s="149" t="s">
        <v>305</v>
      </c>
      <c r="B86" s="149" t="s">
        <v>562</v>
      </c>
      <c r="C86" s="149" t="s">
        <v>307</v>
      </c>
      <c r="D86" s="151">
        <v>0.0</v>
      </c>
      <c r="E86" s="155">
        <v>53820.0</v>
      </c>
      <c r="F86" s="155">
        <v>22.0</v>
      </c>
      <c r="G86" s="155">
        <v>4.08769973987365</v>
      </c>
      <c r="H86" s="155">
        <v>5.0</v>
      </c>
      <c r="I86" s="155">
        <v>0.0</v>
      </c>
      <c r="J86" s="155">
        <v>0.0</v>
      </c>
      <c r="K86" s="155"/>
      <c r="L86" s="155">
        <v>0.0</v>
      </c>
      <c r="M86" s="155"/>
      <c r="N86" s="155">
        <v>11.0</v>
      </c>
      <c r="O86" s="155">
        <v>1.0</v>
      </c>
      <c r="P86" s="156">
        <v>5.0</v>
      </c>
      <c r="Q86" s="157">
        <v>3.0</v>
      </c>
      <c r="R86" s="157">
        <v>338.0</v>
      </c>
      <c r="S86" s="157">
        <v>2823.0</v>
      </c>
      <c r="T86" s="157">
        <v>1580.5</v>
      </c>
      <c r="U86" s="157">
        <v>338.0</v>
      </c>
      <c r="V86" s="157">
        <v>564.6</v>
      </c>
      <c r="W86" s="157">
        <v>451.3</v>
      </c>
      <c r="X86" s="157">
        <v>1.0</v>
      </c>
      <c r="Y86" s="157" t="s">
        <v>776</v>
      </c>
      <c r="Z86" s="157">
        <v>80.0</v>
      </c>
      <c r="AA86" s="157">
        <v>60.0</v>
      </c>
      <c r="AB86" s="157">
        <v>665.0</v>
      </c>
      <c r="AC86" s="157">
        <v>362.5</v>
      </c>
      <c r="AD86" s="157">
        <v>0.0</v>
      </c>
      <c r="AE86" s="157">
        <v>0.0</v>
      </c>
      <c r="AF86" s="157"/>
      <c r="AG86" s="157"/>
      <c r="AH86" s="157"/>
      <c r="AI86" s="157"/>
      <c r="AJ86" s="157"/>
      <c r="AK86" s="157"/>
      <c r="AL86" s="157"/>
      <c r="AM86" s="116"/>
      <c r="AN86" s="116" t="s">
        <v>102</v>
      </c>
      <c r="AO86" s="116" t="s">
        <v>103</v>
      </c>
      <c r="AP86" s="116" t="s">
        <v>777</v>
      </c>
      <c r="AQ86" s="116">
        <v>0.0</v>
      </c>
      <c r="AR86" s="116">
        <v>0.0</v>
      </c>
      <c r="AS86" s="116">
        <v>0.0</v>
      </c>
      <c r="AT86" s="116">
        <v>0.0</v>
      </c>
      <c r="AU86" s="116">
        <v>0.0</v>
      </c>
      <c r="AV86" s="116">
        <v>5.0</v>
      </c>
      <c r="AW86" s="116">
        <v>0.0</v>
      </c>
    </row>
    <row r="87" ht="15.75" customHeight="1">
      <c r="A87" s="149" t="s">
        <v>407</v>
      </c>
      <c r="B87" s="149" t="s">
        <v>563</v>
      </c>
      <c r="C87" s="149" t="s">
        <v>409</v>
      </c>
      <c r="D87" s="151">
        <v>0.0</v>
      </c>
      <c r="E87" s="155">
        <v>27000.0</v>
      </c>
      <c r="F87" s="155">
        <v>5.0</v>
      </c>
      <c r="G87" s="155">
        <v>1.85185185185185</v>
      </c>
      <c r="H87" s="155">
        <v>12.0</v>
      </c>
      <c r="I87" s="155">
        <v>0.0</v>
      </c>
      <c r="J87" s="155">
        <v>0.0</v>
      </c>
      <c r="K87" s="155">
        <v>10.0</v>
      </c>
      <c r="L87" s="155">
        <v>0.0</v>
      </c>
      <c r="M87" s="155">
        <v>2.0</v>
      </c>
      <c r="N87" s="155">
        <v>1.0</v>
      </c>
      <c r="O87" s="155">
        <v>84.0</v>
      </c>
      <c r="P87" s="156">
        <v>84.0</v>
      </c>
      <c r="Q87" s="157">
        <v>84.0</v>
      </c>
      <c r="R87" s="157">
        <v>20150.0</v>
      </c>
      <c r="S87" s="157">
        <v>20150.0</v>
      </c>
      <c r="T87" s="157">
        <v>20150.0</v>
      </c>
      <c r="U87" s="157">
        <v>239.880952380952</v>
      </c>
      <c r="V87" s="157">
        <v>239.880952380952</v>
      </c>
      <c r="W87" s="157">
        <v>239.880952380952</v>
      </c>
      <c r="X87" s="157">
        <v>1.0</v>
      </c>
      <c r="Y87" s="157" t="s">
        <v>778</v>
      </c>
      <c r="Z87" s="157">
        <v>18.0</v>
      </c>
      <c r="AA87" s="157"/>
      <c r="AB87" s="157"/>
      <c r="AC87" s="157"/>
      <c r="AD87" s="157">
        <v>1.0</v>
      </c>
      <c r="AE87" s="157">
        <v>3.0</v>
      </c>
      <c r="AF87" s="157">
        <v>2600.0</v>
      </c>
      <c r="AG87" s="157">
        <v>669.0</v>
      </c>
      <c r="AH87" s="157">
        <v>2678.0</v>
      </c>
      <c r="AI87" s="157">
        <v>1673.5</v>
      </c>
      <c r="AJ87" s="157">
        <v>8028.0</v>
      </c>
      <c r="AK87" s="157">
        <v>32136.0</v>
      </c>
      <c r="AL87" s="157">
        <v>20082.0</v>
      </c>
      <c r="AM87" s="116"/>
      <c r="AN87" s="116" t="s">
        <v>103</v>
      </c>
      <c r="AO87" s="116" t="s">
        <v>129</v>
      </c>
      <c r="AP87" s="116" t="s">
        <v>779</v>
      </c>
      <c r="AQ87" s="116">
        <v>0.0</v>
      </c>
      <c r="AR87" s="116">
        <v>0.0</v>
      </c>
      <c r="AS87" s="116">
        <v>0.0</v>
      </c>
      <c r="AT87" s="116">
        <v>0.0</v>
      </c>
      <c r="AU87" s="116">
        <v>5.0</v>
      </c>
      <c r="AV87" s="116">
        <v>2.0</v>
      </c>
      <c r="AW87" s="116">
        <v>2.0</v>
      </c>
    </row>
    <row r="88" ht="15.75" customHeight="1">
      <c r="A88" s="149" t="s">
        <v>429</v>
      </c>
      <c r="B88" s="149" t="s">
        <v>563</v>
      </c>
      <c r="C88" s="149" t="s">
        <v>431</v>
      </c>
      <c r="D88" s="151">
        <v>1.0</v>
      </c>
      <c r="E88" s="155">
        <v>6800.0</v>
      </c>
      <c r="F88" s="155"/>
      <c r="G88" s="155"/>
      <c r="H88" s="155">
        <v>22.0</v>
      </c>
      <c r="I88" s="155">
        <v>0.0</v>
      </c>
      <c r="J88" s="155">
        <v>15.0</v>
      </c>
      <c r="K88" s="155">
        <v>3.0</v>
      </c>
      <c r="L88" s="155"/>
      <c r="M88" s="155"/>
      <c r="N88" s="155">
        <v>3.0</v>
      </c>
      <c r="O88" s="155">
        <v>2.0</v>
      </c>
      <c r="P88" s="156">
        <v>7.0</v>
      </c>
      <c r="Q88" s="157">
        <v>4.5</v>
      </c>
      <c r="R88" s="157">
        <v>270.0</v>
      </c>
      <c r="S88" s="157">
        <v>46000.0</v>
      </c>
      <c r="T88" s="157">
        <v>23135.0</v>
      </c>
      <c r="U88" s="157">
        <v>135.0</v>
      </c>
      <c r="V88" s="157">
        <v>6571.42857142857</v>
      </c>
      <c r="W88" s="157">
        <v>3353.21428571429</v>
      </c>
      <c r="X88" s="157">
        <v>1.0</v>
      </c>
      <c r="Y88" s="157" t="s">
        <v>780</v>
      </c>
      <c r="Z88" s="157">
        <v>65.0</v>
      </c>
      <c r="AA88" s="157">
        <v>286.0</v>
      </c>
      <c r="AB88" s="157">
        <v>46300.0</v>
      </c>
      <c r="AC88" s="157">
        <v>23293.0</v>
      </c>
      <c r="AD88" s="157">
        <v>0.0</v>
      </c>
      <c r="AE88" s="157">
        <v>0.0</v>
      </c>
      <c r="AF88" s="157"/>
      <c r="AG88" s="157"/>
      <c r="AH88" s="157"/>
      <c r="AI88" s="157"/>
      <c r="AJ88" s="157"/>
      <c r="AK88" s="157"/>
      <c r="AL88" s="157"/>
      <c r="AM88" s="116"/>
      <c r="AN88" s="116" t="s">
        <v>103</v>
      </c>
      <c r="AO88" s="116" t="s">
        <v>440</v>
      </c>
      <c r="AP88" s="116" t="s">
        <v>781</v>
      </c>
      <c r="AQ88" s="116">
        <v>2.0</v>
      </c>
      <c r="AR88" s="116">
        <v>1.0</v>
      </c>
      <c r="AS88" s="116">
        <v>3.0</v>
      </c>
      <c r="AT88" s="116">
        <v>2.0</v>
      </c>
      <c r="AU88" s="116">
        <v>5.0</v>
      </c>
      <c r="AV88" s="116">
        <v>9.0</v>
      </c>
      <c r="AW88" s="116">
        <v>0.0</v>
      </c>
    </row>
    <row r="89" ht="15.75" customHeight="1">
      <c r="A89" s="149" t="s">
        <v>328</v>
      </c>
      <c r="B89" s="149" t="s">
        <v>782</v>
      </c>
      <c r="C89" s="149" t="s">
        <v>331</v>
      </c>
      <c r="D89" s="151">
        <v>0.0</v>
      </c>
      <c r="E89" s="155">
        <v>10000.0</v>
      </c>
      <c r="F89" s="155">
        <v>15.0</v>
      </c>
      <c r="G89" s="155">
        <v>15.0</v>
      </c>
      <c r="H89" s="155">
        <v>15.0</v>
      </c>
      <c r="I89" s="155">
        <v>1.0</v>
      </c>
      <c r="J89" s="155">
        <v>1.0</v>
      </c>
      <c r="K89" s="155">
        <v>14.0</v>
      </c>
      <c r="L89" s="155">
        <v>0.0666666666666667</v>
      </c>
      <c r="M89" s="155">
        <v>0.933333333333333</v>
      </c>
      <c r="N89" s="155">
        <v>3.0</v>
      </c>
      <c r="O89" s="155">
        <v>1.0</v>
      </c>
      <c r="P89" s="156">
        <v>365.0</v>
      </c>
      <c r="Q89" s="157">
        <v>183.0</v>
      </c>
      <c r="R89" s="157">
        <v>99.0</v>
      </c>
      <c r="S89" s="157">
        <v>15995.0</v>
      </c>
      <c r="T89" s="157">
        <v>8047.0</v>
      </c>
      <c r="U89" s="157">
        <v>99.0</v>
      </c>
      <c r="V89" s="157">
        <v>43.8219178082192</v>
      </c>
      <c r="W89" s="157">
        <v>71.4109589041096</v>
      </c>
      <c r="X89" s="157">
        <v>0.0</v>
      </c>
      <c r="Y89" s="157" t="s">
        <v>783</v>
      </c>
      <c r="Z89" s="157">
        <v>50.0</v>
      </c>
      <c r="AA89" s="157">
        <v>49.0</v>
      </c>
      <c r="AB89" s="157">
        <v>14500.0</v>
      </c>
      <c r="AC89" s="157">
        <v>7274.5</v>
      </c>
      <c r="AD89" s="157">
        <v>1.0</v>
      </c>
      <c r="AE89" s="157">
        <v>6.0</v>
      </c>
      <c r="AF89" s="157"/>
      <c r="AG89" s="157">
        <v>99.0</v>
      </c>
      <c r="AH89" s="157">
        <v>8333.0</v>
      </c>
      <c r="AI89" s="157">
        <v>4216.0</v>
      </c>
      <c r="AJ89" s="157">
        <v>1188.0</v>
      </c>
      <c r="AK89" s="157">
        <v>99996.0</v>
      </c>
      <c r="AL89" s="157">
        <v>50592.0</v>
      </c>
      <c r="AM89" s="116" t="s">
        <v>784</v>
      </c>
      <c r="AN89" s="116" t="s">
        <v>129</v>
      </c>
      <c r="AO89" s="116" t="s">
        <v>103</v>
      </c>
      <c r="AP89" s="116" t="s">
        <v>785</v>
      </c>
      <c r="AQ89" s="116">
        <v>2.0</v>
      </c>
      <c r="AR89" s="116">
        <v>0.0</v>
      </c>
      <c r="AS89" s="116">
        <v>0.0</v>
      </c>
      <c r="AT89" s="116">
        <v>3.0</v>
      </c>
      <c r="AU89" s="116">
        <v>0.0</v>
      </c>
      <c r="AV89" s="116">
        <v>0.0</v>
      </c>
      <c r="AW89" s="116">
        <v>0.0</v>
      </c>
    </row>
    <row r="90" ht="15.75" customHeight="1">
      <c r="A90" s="149" t="s">
        <v>356</v>
      </c>
      <c r="B90" s="149" t="s">
        <v>782</v>
      </c>
      <c r="C90" s="149" t="s">
        <v>359</v>
      </c>
      <c r="D90" s="151">
        <v>1.0</v>
      </c>
      <c r="E90" s="155"/>
      <c r="F90" s="155">
        <v>15.0</v>
      </c>
      <c r="G90" s="155"/>
      <c r="H90" s="155">
        <v>18.0</v>
      </c>
      <c r="I90" s="155">
        <v>1.0</v>
      </c>
      <c r="J90" s="155">
        <v>2.0</v>
      </c>
      <c r="K90" s="155">
        <v>13.0</v>
      </c>
      <c r="L90" s="155">
        <v>0.133333333333333</v>
      </c>
      <c r="M90" s="155">
        <v>0.866666666666667</v>
      </c>
      <c r="N90" s="155">
        <v>3.0</v>
      </c>
      <c r="O90" s="155">
        <v>1.0</v>
      </c>
      <c r="P90" s="156">
        <v>365.0</v>
      </c>
      <c r="Q90" s="157">
        <v>183.0</v>
      </c>
      <c r="R90" s="157">
        <v>545.0</v>
      </c>
      <c r="S90" s="157">
        <v>17700.0</v>
      </c>
      <c r="T90" s="157">
        <v>9122.5</v>
      </c>
      <c r="U90" s="157">
        <v>545.0</v>
      </c>
      <c r="V90" s="157">
        <v>48.4931506849315</v>
      </c>
      <c r="W90" s="157">
        <v>296.746575342466</v>
      </c>
      <c r="X90" s="157">
        <v>0.0</v>
      </c>
      <c r="Y90" s="157" t="s">
        <v>786</v>
      </c>
      <c r="Z90" s="157">
        <v>50.0</v>
      </c>
      <c r="AA90" s="157">
        <v>109.0</v>
      </c>
      <c r="AB90" s="157"/>
      <c r="AC90" s="157"/>
      <c r="AD90" s="157">
        <v>1.0</v>
      </c>
      <c r="AE90" s="157">
        <v>5.0</v>
      </c>
      <c r="AF90" s="157"/>
      <c r="AG90" s="157">
        <v>545.0</v>
      </c>
      <c r="AH90" s="157">
        <v>1361.0</v>
      </c>
      <c r="AI90" s="157">
        <v>953.0</v>
      </c>
      <c r="AJ90" s="157">
        <v>6540.0</v>
      </c>
      <c r="AK90" s="157">
        <v>16332.0</v>
      </c>
      <c r="AL90" s="157">
        <v>11436.0</v>
      </c>
      <c r="AM90" s="116" t="s">
        <v>787</v>
      </c>
      <c r="AN90" s="116" t="s">
        <v>129</v>
      </c>
      <c r="AO90" s="116" t="s">
        <v>103</v>
      </c>
      <c r="AP90" s="116" t="s">
        <v>788</v>
      </c>
      <c r="AQ90" s="116">
        <v>3.0</v>
      </c>
      <c r="AR90" s="116">
        <v>1.0</v>
      </c>
      <c r="AS90" s="116">
        <v>0.0</v>
      </c>
      <c r="AT90" s="116">
        <v>2.0</v>
      </c>
      <c r="AU90" s="116">
        <v>5.0</v>
      </c>
      <c r="AV90" s="116">
        <v>5.0</v>
      </c>
      <c r="AW90" s="116">
        <v>0.0</v>
      </c>
    </row>
    <row r="91" ht="15.75" customHeight="1">
      <c r="A91" s="149" t="s">
        <v>382</v>
      </c>
      <c r="B91" s="149" t="s">
        <v>563</v>
      </c>
      <c r="C91" s="149" t="s">
        <v>384</v>
      </c>
      <c r="D91" s="151">
        <v>0.0</v>
      </c>
      <c r="E91" s="155">
        <v>840.0</v>
      </c>
      <c r="F91" s="155">
        <v>1.0</v>
      </c>
      <c r="G91" s="155">
        <v>11.9047619047619</v>
      </c>
      <c r="H91" s="155">
        <v>4.0</v>
      </c>
      <c r="I91" s="155">
        <v>0.0</v>
      </c>
      <c r="J91" s="155">
        <v>1.0</v>
      </c>
      <c r="K91" s="155">
        <v>3.0</v>
      </c>
      <c r="L91" s="155">
        <v>1.0</v>
      </c>
      <c r="M91" s="155">
        <v>3.0</v>
      </c>
      <c r="N91" s="155">
        <v>0.0</v>
      </c>
      <c r="O91" s="155">
        <v>1.0</v>
      </c>
      <c r="P91" s="156">
        <v>1.0</v>
      </c>
      <c r="Q91" s="157">
        <v>1.0</v>
      </c>
      <c r="R91" s="157"/>
      <c r="S91" s="157"/>
      <c r="T91" s="157"/>
      <c r="U91" s="157"/>
      <c r="V91" s="157"/>
      <c r="W91" s="157"/>
      <c r="X91" s="157">
        <v>0.0</v>
      </c>
      <c r="Y91" s="157" t="s">
        <v>789</v>
      </c>
      <c r="Z91" s="157">
        <v>34.0</v>
      </c>
      <c r="AA91" s="157">
        <v>59.0</v>
      </c>
      <c r="AB91" s="157">
        <v>10000.0</v>
      </c>
      <c r="AC91" s="157">
        <v>5029.5</v>
      </c>
      <c r="AD91" s="157">
        <v>1.0</v>
      </c>
      <c r="AE91" s="157">
        <v>6.0</v>
      </c>
      <c r="AF91" s="157"/>
      <c r="AG91" s="157">
        <v>99.0</v>
      </c>
      <c r="AH91" s="157">
        <v>8333.0</v>
      </c>
      <c r="AI91" s="157">
        <v>4216.0</v>
      </c>
      <c r="AJ91" s="157">
        <v>1188.0</v>
      </c>
      <c r="AK91" s="157">
        <v>99996.0</v>
      </c>
      <c r="AL91" s="157">
        <v>50592.0</v>
      </c>
      <c r="AM91" s="116"/>
      <c r="AN91" s="116" t="s">
        <v>103</v>
      </c>
      <c r="AO91" s="116" t="s">
        <v>129</v>
      </c>
      <c r="AP91" s="116" t="s">
        <v>790</v>
      </c>
      <c r="AQ91" s="116">
        <v>0.0</v>
      </c>
      <c r="AR91" s="116">
        <v>1.0</v>
      </c>
      <c r="AS91" s="116">
        <v>0.0</v>
      </c>
      <c r="AT91" s="116">
        <v>2.0</v>
      </c>
      <c r="AU91" s="116">
        <v>0.0</v>
      </c>
      <c r="AV91" s="116">
        <v>0.0</v>
      </c>
      <c r="AW91" s="116">
        <v>0.0</v>
      </c>
    </row>
    <row r="92" ht="15.75" customHeight="1">
      <c r="A92" s="149" t="s">
        <v>451</v>
      </c>
      <c r="B92" s="149" t="s">
        <v>563</v>
      </c>
      <c r="C92" s="149" t="s">
        <v>359</v>
      </c>
      <c r="D92" s="151">
        <v>1.0</v>
      </c>
      <c r="E92" s="155">
        <v>26910.0</v>
      </c>
      <c r="F92" s="155">
        <v>10.0</v>
      </c>
      <c r="G92" s="155">
        <v>3.71609067261241</v>
      </c>
      <c r="H92" s="155">
        <v>26.0</v>
      </c>
      <c r="I92" s="155">
        <v>1.0</v>
      </c>
      <c r="J92" s="155"/>
      <c r="K92" s="155"/>
      <c r="L92" s="155"/>
      <c r="M92" s="155"/>
      <c r="N92" s="155">
        <v>5.0</v>
      </c>
      <c r="O92" s="155">
        <v>1.0</v>
      </c>
      <c r="P92" s="156">
        <v>7.0</v>
      </c>
      <c r="Q92" s="157">
        <v>4.0</v>
      </c>
      <c r="R92" s="157">
        <v>885.0</v>
      </c>
      <c r="S92" s="157">
        <v>1175.0</v>
      </c>
      <c r="T92" s="157">
        <v>1030.0</v>
      </c>
      <c r="U92" s="157">
        <v>885.0</v>
      </c>
      <c r="V92" s="157">
        <v>167.857142857143</v>
      </c>
      <c r="W92" s="157">
        <v>526.428571428571</v>
      </c>
      <c r="X92" s="157">
        <v>0.0</v>
      </c>
      <c r="Y92" s="157" t="s">
        <v>791</v>
      </c>
      <c r="Z92" s="157">
        <v>40.0</v>
      </c>
      <c r="AA92" s="157">
        <v>25.0</v>
      </c>
      <c r="AB92" s="157">
        <v>2724.0</v>
      </c>
      <c r="AC92" s="157">
        <v>1374.5</v>
      </c>
      <c r="AD92" s="157">
        <v>1.0</v>
      </c>
      <c r="AE92" s="157">
        <v>1.0</v>
      </c>
      <c r="AF92" s="157"/>
      <c r="AG92" s="157"/>
      <c r="AH92" s="157"/>
      <c r="AI92" s="157"/>
      <c r="AJ92" s="157"/>
      <c r="AK92" s="157"/>
      <c r="AL92" s="157"/>
      <c r="AM92" s="116" t="s">
        <v>792</v>
      </c>
      <c r="AN92" s="116" t="s">
        <v>102</v>
      </c>
      <c r="AO92" s="116" t="s">
        <v>103</v>
      </c>
      <c r="AP92" s="116" t="s">
        <v>793</v>
      </c>
      <c r="AQ92" s="116">
        <v>8.0</v>
      </c>
      <c r="AR92" s="116">
        <v>1.0</v>
      </c>
      <c r="AS92" s="116">
        <v>0.0</v>
      </c>
      <c r="AT92" s="116">
        <v>1.0</v>
      </c>
      <c r="AU92" s="116">
        <v>5.0</v>
      </c>
      <c r="AV92" s="116">
        <v>11.0</v>
      </c>
      <c r="AW92" s="116">
        <v>0.0</v>
      </c>
    </row>
    <row r="93" ht="15.75" customHeight="1">
      <c r="A93" s="149" t="s">
        <v>474</v>
      </c>
      <c r="B93" s="149" t="s">
        <v>782</v>
      </c>
      <c r="C93" s="149" t="s">
        <v>476</v>
      </c>
      <c r="D93" s="151">
        <v>1.0</v>
      </c>
      <c r="E93" s="155">
        <v>25000.0</v>
      </c>
      <c r="F93" s="155">
        <v>8.0</v>
      </c>
      <c r="G93" s="155">
        <v>3.2</v>
      </c>
      <c r="H93" s="155">
        <v>0.0</v>
      </c>
      <c r="I93" s="155">
        <v>0.0</v>
      </c>
      <c r="J93" s="155">
        <v>2.0</v>
      </c>
      <c r="K93" s="155">
        <v>1.0</v>
      </c>
      <c r="L93" s="155">
        <v>0.25</v>
      </c>
      <c r="M93" s="155">
        <v>0.125</v>
      </c>
      <c r="N93" s="155">
        <v>8.0</v>
      </c>
      <c r="O93" s="155">
        <v>3.0</v>
      </c>
      <c r="P93" s="156">
        <v>21.0</v>
      </c>
      <c r="Q93" s="157">
        <v>12.0</v>
      </c>
      <c r="R93" s="157">
        <v>463.0</v>
      </c>
      <c r="S93" s="157">
        <v>3675.0</v>
      </c>
      <c r="T93" s="157">
        <v>2069.0</v>
      </c>
      <c r="U93" s="157">
        <v>154.333333333333</v>
      </c>
      <c r="V93" s="157">
        <v>175.0</v>
      </c>
      <c r="W93" s="157">
        <v>164.666666666667</v>
      </c>
      <c r="X93" s="157">
        <v>0.0</v>
      </c>
      <c r="Y93" s="157" t="s">
        <v>794</v>
      </c>
      <c r="Z93" s="157">
        <v>35.0</v>
      </c>
      <c r="AA93" s="157">
        <v>82.0</v>
      </c>
      <c r="AB93" s="157">
        <v>327.0</v>
      </c>
      <c r="AC93" s="157">
        <v>204.5</v>
      </c>
      <c r="AD93" s="157">
        <v>1.0</v>
      </c>
      <c r="AE93" s="157">
        <v>1.0</v>
      </c>
      <c r="AF93" s="157"/>
      <c r="AG93" s="157"/>
      <c r="AH93" s="157"/>
      <c r="AI93" s="157"/>
      <c r="AJ93" s="157"/>
      <c r="AK93" s="157"/>
      <c r="AL93" s="157"/>
      <c r="AM93" s="116"/>
      <c r="AN93" s="116" t="s">
        <v>103</v>
      </c>
      <c r="AO93" s="116" t="s">
        <v>102</v>
      </c>
      <c r="AP93" s="116" t="s">
        <v>795</v>
      </c>
      <c r="AQ93" s="116">
        <v>0.0</v>
      </c>
      <c r="AR93" s="116">
        <v>0.0</v>
      </c>
      <c r="AS93" s="116">
        <v>0.0</v>
      </c>
      <c r="AT93" s="116">
        <v>0.0</v>
      </c>
      <c r="AU93" s="116">
        <v>0.0</v>
      </c>
      <c r="AV93" s="116">
        <v>0.0</v>
      </c>
      <c r="AW93" s="116">
        <v>0.0</v>
      </c>
    </row>
    <row r="94" ht="15.75" customHeight="1">
      <c r="A94" s="149" t="s">
        <v>498</v>
      </c>
      <c r="B94" s="149" t="s">
        <v>782</v>
      </c>
      <c r="C94" s="149" t="s">
        <v>501</v>
      </c>
      <c r="D94" s="151">
        <v>1.0</v>
      </c>
      <c r="E94" s="155"/>
      <c r="F94" s="155"/>
      <c r="G94" s="155"/>
      <c r="H94" s="155">
        <v>17.0</v>
      </c>
      <c r="I94" s="155">
        <v>1.0</v>
      </c>
      <c r="J94" s="155">
        <v>1.0</v>
      </c>
      <c r="K94" s="155">
        <v>2.0</v>
      </c>
      <c r="L94" s="155"/>
      <c r="M94" s="155"/>
      <c r="N94" s="155">
        <v>7.0</v>
      </c>
      <c r="O94" s="155">
        <v>30.0</v>
      </c>
      <c r="P94" s="156">
        <v>180.0</v>
      </c>
      <c r="Q94" s="157">
        <v>105.0</v>
      </c>
      <c r="R94" s="157">
        <v>817.0</v>
      </c>
      <c r="S94" s="157">
        <v>9537.0</v>
      </c>
      <c r="T94" s="157">
        <v>5177.0</v>
      </c>
      <c r="U94" s="157">
        <v>27.2333333333333</v>
      </c>
      <c r="V94" s="157">
        <v>52.9833333333333</v>
      </c>
      <c r="W94" s="157">
        <v>40.1083333333333</v>
      </c>
      <c r="X94" s="157">
        <v>0.0</v>
      </c>
      <c r="Y94" s="157" t="s">
        <v>796</v>
      </c>
      <c r="Z94" s="157">
        <v>63.0</v>
      </c>
      <c r="AA94" s="157">
        <v>41.0</v>
      </c>
      <c r="AB94" s="157">
        <v>9537.0</v>
      </c>
      <c r="AC94" s="157">
        <v>4789.0</v>
      </c>
      <c r="AD94" s="157">
        <v>0.0</v>
      </c>
      <c r="AE94" s="157">
        <v>0.0</v>
      </c>
      <c r="AF94" s="157"/>
      <c r="AG94" s="157"/>
      <c r="AH94" s="157"/>
      <c r="AI94" s="157"/>
      <c r="AJ94" s="157"/>
      <c r="AK94" s="157"/>
      <c r="AL94" s="157"/>
      <c r="AM94" s="116" t="s">
        <v>797</v>
      </c>
      <c r="AN94" s="116" t="s">
        <v>103</v>
      </c>
      <c r="AO94" s="116" t="s">
        <v>440</v>
      </c>
      <c r="AP94" s="116" t="s">
        <v>798</v>
      </c>
      <c r="AQ94" s="116">
        <v>3.0</v>
      </c>
      <c r="AR94" s="116">
        <v>2.0</v>
      </c>
      <c r="AS94" s="116">
        <v>0.0</v>
      </c>
      <c r="AT94" s="116">
        <v>2.0</v>
      </c>
      <c r="AU94" s="116">
        <v>1.0</v>
      </c>
      <c r="AV94" s="116">
        <v>6.0</v>
      </c>
      <c r="AW94" s="116">
        <v>0.0</v>
      </c>
    </row>
    <row r="95" ht="15.75" customHeight="1">
      <c r="A95" s="118"/>
      <c r="B95" s="118"/>
      <c r="C95" s="118"/>
      <c r="D95" s="158"/>
      <c r="E95" s="158"/>
      <c r="F95" s="158"/>
      <c r="G95" s="158"/>
      <c r="H95" s="158"/>
      <c r="I95" s="158"/>
      <c r="J95" s="158"/>
      <c r="K95" s="158"/>
      <c r="L95" s="158"/>
      <c r="M95" s="158"/>
      <c r="N95" s="158"/>
      <c r="O95" s="158"/>
      <c r="P95" s="118"/>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row>
    <row r="96" ht="15.75" customHeight="1">
      <c r="A96" s="118"/>
      <c r="B96" s="118"/>
      <c r="C96" s="118"/>
      <c r="D96" s="158"/>
      <c r="E96" s="158"/>
      <c r="F96" s="158"/>
      <c r="G96" s="158"/>
      <c r="H96" s="158"/>
      <c r="I96" s="158"/>
      <c r="J96" s="158"/>
      <c r="K96" s="158"/>
      <c r="L96" s="158"/>
      <c r="M96" s="158"/>
      <c r="N96" s="158"/>
      <c r="O96" s="158"/>
      <c r="P96" s="118"/>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row>
    <row r="97" ht="15.75" customHeight="1">
      <c r="A97" s="118"/>
      <c r="B97" s="118"/>
      <c r="C97" s="118"/>
      <c r="D97" s="158"/>
      <c r="E97" s="158"/>
      <c r="F97" s="158"/>
      <c r="G97" s="158"/>
      <c r="H97" s="158"/>
      <c r="I97" s="158"/>
      <c r="J97" s="158"/>
      <c r="K97" s="158"/>
      <c r="L97" s="158"/>
      <c r="M97" s="158"/>
      <c r="N97" s="158"/>
      <c r="O97" s="158"/>
      <c r="P97" s="118"/>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row>
    <row r="98" ht="15.75" customHeight="1">
      <c r="A98" s="118"/>
      <c r="B98" s="118"/>
      <c r="C98" s="118"/>
      <c r="D98" s="158"/>
      <c r="E98" s="158"/>
      <c r="F98" s="158"/>
      <c r="G98" s="158"/>
      <c r="H98" s="158"/>
      <c r="I98" s="158"/>
      <c r="J98" s="158"/>
      <c r="K98" s="158"/>
      <c r="L98" s="158"/>
      <c r="M98" s="158"/>
      <c r="N98" s="158"/>
      <c r="O98" s="158"/>
      <c r="P98" s="118"/>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row>
    <row r="99" ht="15.75" customHeight="1">
      <c r="A99" s="118"/>
      <c r="B99" s="118"/>
      <c r="C99" s="118"/>
      <c r="D99" s="158"/>
      <c r="E99" s="158"/>
      <c r="F99" s="158"/>
      <c r="G99" s="158"/>
      <c r="H99" s="158"/>
      <c r="I99" s="158"/>
      <c r="J99" s="158"/>
      <c r="K99" s="158"/>
      <c r="L99" s="158"/>
      <c r="M99" s="158"/>
      <c r="N99" s="158"/>
      <c r="O99" s="158"/>
      <c r="P99" s="118"/>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row>
    <row r="100" ht="15.75" customHeight="1">
      <c r="A100" s="118"/>
      <c r="B100" s="118"/>
      <c r="C100" s="118"/>
      <c r="D100" s="158"/>
      <c r="E100" s="158"/>
      <c r="F100" s="158"/>
      <c r="G100" s="158"/>
      <c r="H100" s="158"/>
      <c r="I100" s="158"/>
      <c r="J100" s="158"/>
      <c r="K100" s="158"/>
      <c r="L100" s="158"/>
      <c r="M100" s="158"/>
      <c r="N100" s="158"/>
      <c r="O100" s="158"/>
      <c r="P100" s="118"/>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row>
    <row r="101" ht="15.75" customHeight="1">
      <c r="A101" s="118"/>
      <c r="B101" s="118"/>
      <c r="C101" s="118"/>
      <c r="D101" s="158"/>
      <c r="E101" s="158"/>
      <c r="F101" s="158"/>
      <c r="G101" s="158"/>
      <c r="H101" s="158"/>
      <c r="I101" s="158"/>
      <c r="J101" s="158"/>
      <c r="K101" s="158"/>
      <c r="L101" s="158"/>
      <c r="M101" s="158"/>
      <c r="N101" s="158"/>
      <c r="O101" s="158"/>
      <c r="P101" s="118"/>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row>
    <row r="102" ht="15.75" customHeight="1">
      <c r="A102" s="118"/>
      <c r="B102" s="118"/>
      <c r="C102" s="118"/>
      <c r="D102" s="158"/>
      <c r="E102" s="158"/>
      <c r="F102" s="158"/>
      <c r="G102" s="158"/>
      <c r="H102" s="158"/>
      <c r="I102" s="158"/>
      <c r="J102" s="158"/>
      <c r="K102" s="158"/>
      <c r="L102" s="158"/>
      <c r="M102" s="158"/>
      <c r="N102" s="158"/>
      <c r="O102" s="158"/>
      <c r="P102" s="118"/>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row>
    <row r="103" ht="15.75" customHeight="1">
      <c r="A103" s="118"/>
      <c r="B103" s="118"/>
      <c r="C103" s="118"/>
      <c r="D103" s="158"/>
      <c r="E103" s="158"/>
      <c r="F103" s="158"/>
      <c r="G103" s="158"/>
      <c r="H103" s="158"/>
      <c r="I103" s="158"/>
      <c r="J103" s="158"/>
      <c r="K103" s="158"/>
      <c r="L103" s="158"/>
      <c r="M103" s="158"/>
      <c r="N103" s="158"/>
      <c r="O103" s="158"/>
      <c r="P103" s="118"/>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row>
    <row r="104" ht="15.75" customHeight="1">
      <c r="A104" s="118"/>
      <c r="B104" s="118"/>
      <c r="C104" s="118"/>
      <c r="D104" s="158"/>
      <c r="E104" s="158"/>
      <c r="F104" s="158"/>
      <c r="G104" s="158"/>
      <c r="H104" s="158"/>
      <c r="I104" s="158"/>
      <c r="J104" s="158"/>
      <c r="K104" s="158"/>
      <c r="L104" s="158"/>
      <c r="M104" s="158"/>
      <c r="N104" s="158"/>
      <c r="O104" s="158"/>
      <c r="P104" s="118"/>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row>
    <row r="105" ht="15.75" customHeight="1">
      <c r="A105" s="118"/>
      <c r="B105" s="118"/>
      <c r="C105" s="118"/>
      <c r="D105" s="158"/>
      <c r="E105" s="158"/>
      <c r="F105" s="158"/>
      <c r="G105" s="158"/>
      <c r="H105" s="158"/>
      <c r="I105" s="158"/>
      <c r="J105" s="158"/>
      <c r="K105" s="158"/>
      <c r="L105" s="158"/>
      <c r="M105" s="158"/>
      <c r="N105" s="158"/>
      <c r="O105" s="158"/>
      <c r="P105" s="118"/>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row>
    <row r="106" ht="15.75" customHeight="1">
      <c r="A106" s="118"/>
      <c r="B106" s="118"/>
      <c r="C106" s="118"/>
      <c r="D106" s="158"/>
      <c r="E106" s="158"/>
      <c r="F106" s="158"/>
      <c r="G106" s="158"/>
      <c r="H106" s="158"/>
      <c r="I106" s="158"/>
      <c r="J106" s="158"/>
      <c r="K106" s="158"/>
      <c r="L106" s="158"/>
      <c r="M106" s="158"/>
      <c r="N106" s="158"/>
      <c r="O106" s="158"/>
      <c r="P106" s="118"/>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row>
    <row r="107" ht="15.75" customHeight="1">
      <c r="A107" s="118"/>
      <c r="B107" s="118"/>
      <c r="C107" s="118"/>
      <c r="D107" s="158"/>
      <c r="E107" s="158"/>
      <c r="F107" s="158"/>
      <c r="G107" s="158"/>
      <c r="H107" s="158"/>
      <c r="I107" s="158"/>
      <c r="J107" s="158"/>
      <c r="K107" s="158"/>
      <c r="L107" s="158"/>
      <c r="M107" s="158"/>
      <c r="N107" s="158"/>
      <c r="O107" s="158"/>
      <c r="P107" s="118"/>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row>
    <row r="108" ht="15.75" customHeight="1">
      <c r="A108" s="118"/>
      <c r="B108" s="118"/>
      <c r="C108" s="118"/>
      <c r="D108" s="158"/>
      <c r="E108" s="158"/>
      <c r="F108" s="158"/>
      <c r="G108" s="158"/>
      <c r="H108" s="158"/>
      <c r="I108" s="158"/>
      <c r="J108" s="158"/>
      <c r="K108" s="158"/>
      <c r="L108" s="158"/>
      <c r="M108" s="158"/>
      <c r="N108" s="158"/>
      <c r="O108" s="158"/>
      <c r="P108" s="118"/>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row>
    <row r="109" ht="15.75" customHeight="1">
      <c r="A109" s="118"/>
      <c r="B109" s="118"/>
      <c r="C109" s="118"/>
      <c r="D109" s="158"/>
      <c r="E109" s="158"/>
      <c r="F109" s="158"/>
      <c r="G109" s="158"/>
      <c r="H109" s="158"/>
      <c r="I109" s="158"/>
      <c r="J109" s="158"/>
      <c r="K109" s="158"/>
      <c r="L109" s="158"/>
      <c r="M109" s="158"/>
      <c r="N109" s="158"/>
      <c r="O109" s="158"/>
      <c r="P109" s="118"/>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row>
    <row r="110" ht="15.75" customHeight="1">
      <c r="A110" s="118"/>
      <c r="B110" s="118"/>
      <c r="C110" s="118"/>
      <c r="D110" s="158"/>
      <c r="E110" s="158"/>
      <c r="F110" s="158"/>
      <c r="G110" s="158"/>
      <c r="H110" s="158"/>
      <c r="I110" s="158"/>
      <c r="J110" s="158"/>
      <c r="K110" s="158"/>
      <c r="L110" s="158"/>
      <c r="M110" s="158"/>
      <c r="N110" s="158"/>
      <c r="O110" s="158"/>
      <c r="P110" s="118"/>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row>
    <row r="111" ht="15.75" customHeight="1">
      <c r="A111" s="118"/>
      <c r="B111" s="118"/>
      <c r="C111" s="118"/>
      <c r="D111" s="158"/>
      <c r="E111" s="158"/>
      <c r="F111" s="158"/>
      <c r="G111" s="158"/>
      <c r="H111" s="158"/>
      <c r="I111" s="158"/>
      <c r="J111" s="158"/>
      <c r="K111" s="158"/>
      <c r="L111" s="158"/>
      <c r="M111" s="158"/>
      <c r="N111" s="158"/>
      <c r="O111" s="158"/>
      <c r="P111" s="118"/>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row>
    <row r="112" ht="15.75" customHeight="1">
      <c r="A112" s="118"/>
      <c r="B112" s="118"/>
      <c r="C112" s="118"/>
      <c r="D112" s="158"/>
      <c r="E112" s="158"/>
      <c r="F112" s="158"/>
      <c r="G112" s="158"/>
      <c r="H112" s="158"/>
      <c r="I112" s="158"/>
      <c r="J112" s="158"/>
      <c r="K112" s="158"/>
      <c r="L112" s="158"/>
      <c r="M112" s="158"/>
      <c r="N112" s="158"/>
      <c r="O112" s="158"/>
      <c r="P112" s="118"/>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row>
    <row r="113" ht="15.75" customHeight="1">
      <c r="A113" s="118"/>
      <c r="B113" s="118"/>
      <c r="C113" s="118"/>
      <c r="D113" s="158"/>
      <c r="E113" s="158"/>
      <c r="F113" s="158"/>
      <c r="G113" s="158"/>
      <c r="H113" s="158"/>
      <c r="I113" s="158"/>
      <c r="J113" s="158"/>
      <c r="K113" s="158"/>
      <c r="L113" s="158"/>
      <c r="M113" s="158"/>
      <c r="N113" s="158"/>
      <c r="O113" s="158"/>
      <c r="P113" s="118"/>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row>
    <row r="114" ht="15.75" customHeight="1">
      <c r="A114" s="118"/>
      <c r="B114" s="118"/>
      <c r="C114" s="118"/>
      <c r="D114" s="158"/>
      <c r="E114" s="158"/>
      <c r="F114" s="158"/>
      <c r="G114" s="158"/>
      <c r="H114" s="158"/>
      <c r="I114" s="158"/>
      <c r="J114" s="158"/>
      <c r="K114" s="158"/>
      <c r="L114" s="158"/>
      <c r="M114" s="158"/>
      <c r="N114" s="158"/>
      <c r="O114" s="158"/>
      <c r="P114" s="118"/>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row>
    <row r="115" ht="15.75" customHeight="1">
      <c r="A115" s="118"/>
      <c r="B115" s="118"/>
      <c r="C115" s="118"/>
      <c r="D115" s="158"/>
      <c r="E115" s="158"/>
      <c r="F115" s="158"/>
      <c r="G115" s="158"/>
      <c r="H115" s="158"/>
      <c r="I115" s="158"/>
      <c r="J115" s="158"/>
      <c r="K115" s="158"/>
      <c r="L115" s="158"/>
      <c r="M115" s="158"/>
      <c r="N115" s="158"/>
      <c r="O115" s="158"/>
      <c r="P115" s="118"/>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row>
    <row r="116" ht="15.75" customHeight="1">
      <c r="A116" s="118"/>
      <c r="B116" s="118"/>
      <c r="C116" s="118"/>
      <c r="D116" s="158"/>
      <c r="E116" s="158"/>
      <c r="F116" s="158"/>
      <c r="G116" s="158"/>
      <c r="H116" s="158"/>
      <c r="I116" s="158"/>
      <c r="J116" s="158"/>
      <c r="K116" s="158"/>
      <c r="L116" s="158"/>
      <c r="M116" s="158"/>
      <c r="N116" s="158"/>
      <c r="O116" s="158"/>
      <c r="P116" s="118"/>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row>
    <row r="117" ht="15.75" customHeight="1">
      <c r="A117" s="118"/>
      <c r="B117" s="118"/>
      <c r="C117" s="118"/>
      <c r="D117" s="158"/>
      <c r="E117" s="158"/>
      <c r="F117" s="158"/>
      <c r="G117" s="158"/>
      <c r="H117" s="158"/>
      <c r="I117" s="158"/>
      <c r="J117" s="158"/>
      <c r="K117" s="158"/>
      <c r="L117" s="158"/>
      <c r="M117" s="158"/>
      <c r="N117" s="158"/>
      <c r="O117" s="158"/>
      <c r="P117" s="118"/>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row>
    <row r="118" ht="15.75" customHeight="1">
      <c r="A118" s="118"/>
      <c r="B118" s="118"/>
      <c r="C118" s="118"/>
      <c r="D118" s="158"/>
      <c r="E118" s="158"/>
      <c r="F118" s="158"/>
      <c r="G118" s="158"/>
      <c r="H118" s="158"/>
      <c r="I118" s="158"/>
      <c r="J118" s="158"/>
      <c r="K118" s="158"/>
      <c r="L118" s="158"/>
      <c r="M118" s="158"/>
      <c r="N118" s="158"/>
      <c r="O118" s="158"/>
      <c r="P118" s="118"/>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row>
    <row r="119" ht="15.75" customHeight="1">
      <c r="A119" s="118"/>
      <c r="B119" s="118"/>
      <c r="C119" s="118"/>
      <c r="D119" s="158"/>
      <c r="E119" s="158"/>
      <c r="F119" s="158"/>
      <c r="G119" s="158"/>
      <c r="H119" s="158"/>
      <c r="I119" s="158"/>
      <c r="J119" s="158"/>
      <c r="K119" s="158"/>
      <c r="L119" s="158"/>
      <c r="M119" s="158"/>
      <c r="N119" s="158"/>
      <c r="O119" s="158"/>
      <c r="P119" s="118"/>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row>
    <row r="120" ht="15.75" customHeight="1">
      <c r="A120" s="118"/>
      <c r="B120" s="118"/>
      <c r="C120" s="118"/>
      <c r="D120" s="158"/>
      <c r="E120" s="158"/>
      <c r="F120" s="158"/>
      <c r="G120" s="158"/>
      <c r="H120" s="158"/>
      <c r="I120" s="158"/>
      <c r="J120" s="158"/>
      <c r="K120" s="158"/>
      <c r="L120" s="158"/>
      <c r="M120" s="158"/>
      <c r="N120" s="158"/>
      <c r="O120" s="158"/>
      <c r="P120" s="118"/>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row>
    <row r="121" ht="15.75" customHeight="1">
      <c r="A121" s="118"/>
      <c r="B121" s="118"/>
      <c r="C121" s="118"/>
      <c r="D121" s="158"/>
      <c r="E121" s="158"/>
      <c r="F121" s="158"/>
      <c r="G121" s="158"/>
      <c r="H121" s="158"/>
      <c r="I121" s="158"/>
      <c r="J121" s="158"/>
      <c r="K121" s="158"/>
      <c r="L121" s="158"/>
      <c r="M121" s="158"/>
      <c r="N121" s="158"/>
      <c r="O121" s="158"/>
      <c r="P121" s="118"/>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row>
    <row r="122" ht="15.75" customHeight="1">
      <c r="A122" s="118"/>
      <c r="B122" s="118"/>
      <c r="C122" s="118"/>
      <c r="D122" s="158"/>
      <c r="E122" s="158"/>
      <c r="F122" s="158"/>
      <c r="G122" s="158"/>
      <c r="H122" s="158"/>
      <c r="I122" s="158"/>
      <c r="J122" s="158"/>
      <c r="K122" s="158"/>
      <c r="L122" s="158"/>
      <c r="M122" s="158"/>
      <c r="N122" s="158"/>
      <c r="O122" s="158"/>
      <c r="P122" s="118"/>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row>
    <row r="123" ht="15.75" customHeight="1">
      <c r="A123" s="118"/>
      <c r="B123" s="118"/>
      <c r="C123" s="118"/>
      <c r="D123" s="158"/>
      <c r="E123" s="158"/>
      <c r="F123" s="158"/>
      <c r="G123" s="158"/>
      <c r="H123" s="158"/>
      <c r="I123" s="158"/>
      <c r="J123" s="158"/>
      <c r="K123" s="158"/>
      <c r="L123" s="158"/>
      <c r="M123" s="158"/>
      <c r="N123" s="158"/>
      <c r="O123" s="158"/>
      <c r="P123" s="118"/>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row>
    <row r="124" ht="15.75" customHeight="1">
      <c r="A124" s="118"/>
      <c r="B124" s="118"/>
      <c r="C124" s="118"/>
      <c r="D124" s="158"/>
      <c r="E124" s="158"/>
      <c r="F124" s="158"/>
      <c r="G124" s="158"/>
      <c r="H124" s="158"/>
      <c r="I124" s="158"/>
      <c r="J124" s="158"/>
      <c r="K124" s="158"/>
      <c r="L124" s="158"/>
      <c r="M124" s="158"/>
      <c r="N124" s="158"/>
      <c r="O124" s="158"/>
      <c r="P124" s="118"/>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row>
    <row r="125" ht="15.75" customHeight="1">
      <c r="A125" s="118"/>
      <c r="B125" s="118"/>
      <c r="C125" s="118"/>
      <c r="D125" s="158"/>
      <c r="E125" s="158"/>
      <c r="F125" s="158"/>
      <c r="G125" s="158"/>
      <c r="H125" s="158"/>
      <c r="I125" s="158"/>
      <c r="J125" s="158"/>
      <c r="K125" s="158"/>
      <c r="L125" s="158"/>
      <c r="M125" s="158"/>
      <c r="N125" s="158"/>
      <c r="O125" s="158"/>
      <c r="P125" s="118"/>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row>
    <row r="126" ht="15.75" customHeight="1">
      <c r="A126" s="118"/>
      <c r="B126" s="118"/>
      <c r="C126" s="118"/>
      <c r="D126" s="158"/>
      <c r="E126" s="158"/>
      <c r="F126" s="158"/>
      <c r="G126" s="158"/>
      <c r="H126" s="158"/>
      <c r="I126" s="158"/>
      <c r="J126" s="158"/>
      <c r="K126" s="158"/>
      <c r="L126" s="158"/>
      <c r="M126" s="158"/>
      <c r="N126" s="158"/>
      <c r="O126" s="158"/>
      <c r="P126" s="118"/>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row>
    <row r="127" ht="15.75" customHeight="1">
      <c r="A127" s="118"/>
      <c r="B127" s="118"/>
      <c r="C127" s="118"/>
      <c r="D127" s="158"/>
      <c r="E127" s="158"/>
      <c r="F127" s="158"/>
      <c r="G127" s="158"/>
      <c r="H127" s="158"/>
      <c r="I127" s="158"/>
      <c r="J127" s="158"/>
      <c r="K127" s="158"/>
      <c r="L127" s="158"/>
      <c r="M127" s="158"/>
      <c r="N127" s="158"/>
      <c r="O127" s="158"/>
      <c r="P127" s="118"/>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row>
    <row r="128" ht="15.75" customHeight="1">
      <c r="A128" s="118"/>
      <c r="B128" s="118"/>
      <c r="C128" s="118"/>
      <c r="D128" s="158"/>
      <c r="E128" s="158"/>
      <c r="F128" s="158"/>
      <c r="G128" s="158"/>
      <c r="H128" s="158"/>
      <c r="I128" s="158"/>
      <c r="J128" s="158"/>
      <c r="K128" s="158"/>
      <c r="L128" s="158"/>
      <c r="M128" s="158"/>
      <c r="N128" s="158"/>
      <c r="O128" s="158"/>
      <c r="P128" s="118"/>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row>
    <row r="129" ht="15.75" customHeight="1">
      <c r="A129" s="118"/>
      <c r="B129" s="118"/>
      <c r="C129" s="118"/>
      <c r="D129" s="158"/>
      <c r="E129" s="158"/>
      <c r="F129" s="158"/>
      <c r="G129" s="158"/>
      <c r="H129" s="158"/>
      <c r="I129" s="158"/>
      <c r="J129" s="158"/>
      <c r="K129" s="158"/>
      <c r="L129" s="158"/>
      <c r="M129" s="158"/>
      <c r="N129" s="158"/>
      <c r="O129" s="158"/>
      <c r="P129" s="118"/>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row>
    <row r="130" ht="15.75" customHeight="1">
      <c r="A130" s="118"/>
      <c r="B130" s="118"/>
      <c r="C130" s="118"/>
      <c r="D130" s="158"/>
      <c r="E130" s="158"/>
      <c r="F130" s="158"/>
      <c r="G130" s="158"/>
      <c r="H130" s="158"/>
      <c r="I130" s="158"/>
      <c r="J130" s="158"/>
      <c r="K130" s="158"/>
      <c r="L130" s="158"/>
      <c r="M130" s="158"/>
      <c r="N130" s="158"/>
      <c r="O130" s="158"/>
      <c r="P130" s="118"/>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row>
    <row r="131" ht="15.75" customHeight="1">
      <c r="A131" s="118"/>
      <c r="B131" s="118"/>
      <c r="C131" s="118"/>
      <c r="D131" s="158"/>
      <c r="E131" s="158"/>
      <c r="F131" s="158"/>
      <c r="G131" s="158"/>
      <c r="H131" s="158"/>
      <c r="I131" s="158"/>
      <c r="J131" s="158"/>
      <c r="K131" s="158"/>
      <c r="L131" s="158"/>
      <c r="M131" s="158"/>
      <c r="N131" s="158"/>
      <c r="O131" s="158"/>
      <c r="P131" s="118"/>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row>
    <row r="132" ht="15.75" customHeight="1">
      <c r="A132" s="118"/>
      <c r="B132" s="118"/>
      <c r="C132" s="118"/>
      <c r="D132" s="158"/>
      <c r="E132" s="158"/>
      <c r="F132" s="158"/>
      <c r="G132" s="158"/>
      <c r="H132" s="158"/>
      <c r="I132" s="158"/>
      <c r="J132" s="158"/>
      <c r="K132" s="158"/>
      <c r="L132" s="158"/>
      <c r="M132" s="158"/>
      <c r="N132" s="158"/>
      <c r="O132" s="158"/>
      <c r="P132" s="118"/>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row>
    <row r="133" ht="15.75" customHeight="1">
      <c r="A133" s="118"/>
      <c r="B133" s="118"/>
      <c r="C133" s="118"/>
      <c r="D133" s="158"/>
      <c r="E133" s="158"/>
      <c r="F133" s="158"/>
      <c r="G133" s="158"/>
      <c r="H133" s="158"/>
      <c r="I133" s="158"/>
      <c r="J133" s="158"/>
      <c r="K133" s="158"/>
      <c r="L133" s="158"/>
      <c r="M133" s="158"/>
      <c r="N133" s="158"/>
      <c r="O133" s="158"/>
      <c r="P133" s="118"/>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row>
    <row r="134" ht="15.75" customHeight="1">
      <c r="A134" s="118"/>
      <c r="B134" s="118"/>
      <c r="C134" s="118"/>
      <c r="D134" s="158"/>
      <c r="E134" s="158"/>
      <c r="F134" s="158"/>
      <c r="G134" s="158"/>
      <c r="H134" s="158"/>
      <c r="I134" s="158"/>
      <c r="J134" s="158"/>
      <c r="K134" s="158"/>
      <c r="L134" s="158"/>
      <c r="M134" s="158"/>
      <c r="N134" s="158"/>
      <c r="O134" s="158"/>
      <c r="P134" s="118"/>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row>
    <row r="135" ht="15.75" customHeight="1">
      <c r="A135" s="118"/>
      <c r="B135" s="118"/>
      <c r="C135" s="118"/>
      <c r="D135" s="158"/>
      <c r="E135" s="158"/>
      <c r="F135" s="158"/>
      <c r="G135" s="158"/>
      <c r="H135" s="158"/>
      <c r="I135" s="158"/>
      <c r="J135" s="158"/>
      <c r="K135" s="158"/>
      <c r="L135" s="158"/>
      <c r="M135" s="158"/>
      <c r="N135" s="158"/>
      <c r="O135" s="158"/>
      <c r="P135" s="118"/>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row>
    <row r="136" ht="15.75" customHeight="1">
      <c r="A136" s="118"/>
      <c r="B136" s="118"/>
      <c r="C136" s="118"/>
      <c r="D136" s="158"/>
      <c r="E136" s="158"/>
      <c r="F136" s="158"/>
      <c r="G136" s="158"/>
      <c r="H136" s="158"/>
      <c r="I136" s="158"/>
      <c r="J136" s="158"/>
      <c r="K136" s="158"/>
      <c r="L136" s="158"/>
      <c r="M136" s="158"/>
      <c r="N136" s="158"/>
      <c r="O136" s="158"/>
      <c r="P136" s="118"/>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row>
    <row r="137" ht="15.75" customHeight="1">
      <c r="A137" s="118"/>
      <c r="B137" s="118"/>
      <c r="C137" s="118"/>
      <c r="D137" s="158"/>
      <c r="E137" s="158"/>
      <c r="F137" s="158"/>
      <c r="G137" s="158"/>
      <c r="H137" s="158"/>
      <c r="I137" s="158"/>
      <c r="J137" s="158"/>
      <c r="K137" s="158"/>
      <c r="L137" s="158"/>
      <c r="M137" s="158"/>
      <c r="N137" s="158"/>
      <c r="O137" s="158"/>
      <c r="P137" s="118"/>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row>
    <row r="138" ht="15.75" customHeight="1">
      <c r="A138" s="118"/>
      <c r="B138" s="118"/>
      <c r="C138" s="118"/>
      <c r="D138" s="158"/>
      <c r="E138" s="158"/>
      <c r="F138" s="158"/>
      <c r="G138" s="158"/>
      <c r="H138" s="158"/>
      <c r="I138" s="158"/>
      <c r="J138" s="158"/>
      <c r="K138" s="158"/>
      <c r="L138" s="158"/>
      <c r="M138" s="158"/>
      <c r="N138" s="158"/>
      <c r="O138" s="158"/>
      <c r="P138" s="118"/>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row>
    <row r="139" ht="15.75" customHeight="1">
      <c r="A139" s="118"/>
      <c r="B139" s="118"/>
      <c r="C139" s="118"/>
      <c r="D139" s="158"/>
      <c r="E139" s="158"/>
      <c r="F139" s="158"/>
      <c r="G139" s="158"/>
      <c r="H139" s="158"/>
      <c r="I139" s="158"/>
      <c r="J139" s="158"/>
      <c r="K139" s="158"/>
      <c r="L139" s="158"/>
      <c r="M139" s="158"/>
      <c r="N139" s="158"/>
      <c r="O139" s="158"/>
      <c r="P139" s="118"/>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row>
    <row r="140" ht="15.75" customHeight="1">
      <c r="A140" s="118"/>
      <c r="B140" s="118"/>
      <c r="C140" s="118"/>
      <c r="D140" s="158"/>
      <c r="E140" s="158"/>
      <c r="F140" s="158"/>
      <c r="G140" s="158"/>
      <c r="H140" s="158"/>
      <c r="I140" s="158"/>
      <c r="J140" s="158"/>
      <c r="K140" s="158"/>
      <c r="L140" s="158"/>
      <c r="M140" s="158"/>
      <c r="N140" s="158"/>
      <c r="O140" s="158"/>
      <c r="P140" s="118"/>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row>
    <row r="141" ht="15.75" customHeight="1">
      <c r="A141" s="118"/>
      <c r="B141" s="118"/>
      <c r="C141" s="118"/>
      <c r="D141" s="158"/>
      <c r="E141" s="158"/>
      <c r="F141" s="158"/>
      <c r="G141" s="158"/>
      <c r="H141" s="158"/>
      <c r="I141" s="158"/>
      <c r="J141" s="158"/>
      <c r="K141" s="158"/>
      <c r="L141" s="158"/>
      <c r="M141" s="158"/>
      <c r="N141" s="158"/>
      <c r="O141" s="158"/>
      <c r="P141" s="118"/>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row>
    <row r="142" ht="15.75" customHeight="1">
      <c r="A142" s="118"/>
      <c r="B142" s="118"/>
      <c r="C142" s="118"/>
      <c r="D142" s="158"/>
      <c r="E142" s="158"/>
      <c r="F142" s="158"/>
      <c r="G142" s="158"/>
      <c r="H142" s="158"/>
      <c r="I142" s="158"/>
      <c r="J142" s="158"/>
      <c r="K142" s="158"/>
      <c r="L142" s="158"/>
      <c r="M142" s="158"/>
      <c r="N142" s="158"/>
      <c r="O142" s="158"/>
      <c r="P142" s="118"/>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row>
    <row r="143" ht="15.75" customHeight="1">
      <c r="A143" s="118"/>
      <c r="B143" s="118"/>
      <c r="C143" s="118"/>
      <c r="D143" s="158"/>
      <c r="E143" s="158"/>
      <c r="F143" s="158"/>
      <c r="G143" s="158"/>
      <c r="H143" s="158"/>
      <c r="I143" s="158"/>
      <c r="J143" s="158"/>
      <c r="K143" s="158"/>
      <c r="L143" s="158"/>
      <c r="M143" s="158"/>
      <c r="N143" s="158"/>
      <c r="O143" s="158"/>
      <c r="P143" s="118"/>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row>
    <row r="144" ht="15.75" customHeight="1">
      <c r="A144" s="118"/>
      <c r="B144" s="118"/>
      <c r="C144" s="118"/>
      <c r="D144" s="158"/>
      <c r="E144" s="158"/>
      <c r="F144" s="158"/>
      <c r="G144" s="158"/>
      <c r="H144" s="158"/>
      <c r="I144" s="158"/>
      <c r="J144" s="158"/>
      <c r="K144" s="158"/>
      <c r="L144" s="158"/>
      <c r="M144" s="158"/>
      <c r="N144" s="158"/>
      <c r="O144" s="158"/>
      <c r="P144" s="118"/>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row>
    <row r="145" ht="15.75" customHeight="1">
      <c r="A145" s="118"/>
      <c r="B145" s="118"/>
      <c r="C145" s="118"/>
      <c r="D145" s="158"/>
      <c r="E145" s="158"/>
      <c r="F145" s="158"/>
      <c r="G145" s="158"/>
      <c r="H145" s="158"/>
      <c r="I145" s="158"/>
      <c r="J145" s="158"/>
      <c r="K145" s="158"/>
      <c r="L145" s="158"/>
      <c r="M145" s="158"/>
      <c r="N145" s="158"/>
      <c r="O145" s="158"/>
      <c r="P145" s="118"/>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row>
    <row r="146" ht="15.75" customHeight="1">
      <c r="A146" s="118"/>
      <c r="B146" s="118"/>
      <c r="C146" s="118"/>
      <c r="D146" s="158"/>
      <c r="E146" s="158"/>
      <c r="F146" s="158"/>
      <c r="G146" s="158"/>
      <c r="H146" s="158"/>
      <c r="I146" s="158"/>
      <c r="J146" s="158"/>
      <c r="K146" s="158"/>
      <c r="L146" s="158"/>
      <c r="M146" s="158"/>
      <c r="N146" s="158"/>
      <c r="O146" s="158"/>
      <c r="P146" s="118"/>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row>
    <row r="147" ht="15.75" customHeight="1">
      <c r="A147" s="118"/>
      <c r="B147" s="118"/>
      <c r="C147" s="118"/>
      <c r="D147" s="158"/>
      <c r="E147" s="158"/>
      <c r="F147" s="158"/>
      <c r="G147" s="158"/>
      <c r="H147" s="158"/>
      <c r="I147" s="158"/>
      <c r="J147" s="158"/>
      <c r="K147" s="158"/>
      <c r="L147" s="158"/>
      <c r="M147" s="158"/>
      <c r="N147" s="158"/>
      <c r="O147" s="158"/>
      <c r="P147" s="118"/>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row>
    <row r="148" ht="15.75" customHeight="1">
      <c r="A148" s="118"/>
      <c r="B148" s="118"/>
      <c r="C148" s="118"/>
      <c r="D148" s="158"/>
      <c r="E148" s="158"/>
      <c r="F148" s="158"/>
      <c r="G148" s="158"/>
      <c r="H148" s="158"/>
      <c r="I148" s="158"/>
      <c r="J148" s="158"/>
      <c r="K148" s="158"/>
      <c r="L148" s="158"/>
      <c r="M148" s="158"/>
      <c r="N148" s="158"/>
      <c r="O148" s="158"/>
      <c r="P148" s="118"/>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row>
    <row r="149" ht="15.75" customHeight="1">
      <c r="A149" s="118"/>
      <c r="B149" s="118"/>
      <c r="C149" s="118"/>
      <c r="D149" s="158"/>
      <c r="E149" s="158"/>
      <c r="F149" s="158"/>
      <c r="G149" s="158"/>
      <c r="H149" s="158"/>
      <c r="I149" s="158"/>
      <c r="J149" s="158"/>
      <c r="K149" s="158"/>
      <c r="L149" s="158"/>
      <c r="M149" s="158"/>
      <c r="N149" s="158"/>
      <c r="O149" s="158"/>
      <c r="P149" s="118"/>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row>
    <row r="150" ht="15.75" customHeight="1">
      <c r="A150" s="118"/>
      <c r="B150" s="118"/>
      <c r="C150" s="118"/>
      <c r="D150" s="158"/>
      <c r="E150" s="158"/>
      <c r="F150" s="158"/>
      <c r="G150" s="158"/>
      <c r="H150" s="158"/>
      <c r="I150" s="158"/>
      <c r="J150" s="158"/>
      <c r="K150" s="158"/>
      <c r="L150" s="158"/>
      <c r="M150" s="158"/>
      <c r="N150" s="158"/>
      <c r="O150" s="158"/>
      <c r="P150" s="118"/>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row>
    <row r="151" ht="15.75" customHeight="1">
      <c r="A151" s="118"/>
      <c r="B151" s="118"/>
      <c r="C151" s="118"/>
      <c r="D151" s="158"/>
      <c r="E151" s="158"/>
      <c r="F151" s="158"/>
      <c r="G151" s="158"/>
      <c r="H151" s="158"/>
      <c r="I151" s="158"/>
      <c r="J151" s="158"/>
      <c r="K151" s="158"/>
      <c r="L151" s="158"/>
      <c r="M151" s="158"/>
      <c r="N151" s="158"/>
      <c r="O151" s="158"/>
      <c r="P151" s="118"/>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row>
    <row r="152" ht="15.75" customHeight="1">
      <c r="A152" s="118"/>
      <c r="B152" s="118"/>
      <c r="C152" s="118"/>
      <c r="D152" s="158"/>
      <c r="E152" s="158"/>
      <c r="F152" s="158"/>
      <c r="G152" s="158"/>
      <c r="H152" s="158"/>
      <c r="I152" s="158"/>
      <c r="J152" s="158"/>
      <c r="K152" s="158"/>
      <c r="L152" s="158"/>
      <c r="M152" s="158"/>
      <c r="N152" s="158"/>
      <c r="O152" s="158"/>
      <c r="P152" s="118"/>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row>
    <row r="153" ht="15.75" customHeight="1">
      <c r="A153" s="118"/>
      <c r="B153" s="118"/>
      <c r="C153" s="118"/>
      <c r="D153" s="158"/>
      <c r="E153" s="158"/>
      <c r="F153" s="158"/>
      <c r="G153" s="158"/>
      <c r="H153" s="158"/>
      <c r="I153" s="158"/>
      <c r="J153" s="158"/>
      <c r="K153" s="158"/>
      <c r="L153" s="158"/>
      <c r="M153" s="158"/>
      <c r="N153" s="158"/>
      <c r="O153" s="158"/>
      <c r="P153" s="118"/>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row>
    <row r="154" ht="15.75" customHeight="1">
      <c r="A154" s="118"/>
      <c r="B154" s="118"/>
      <c r="C154" s="118"/>
      <c r="D154" s="158"/>
      <c r="E154" s="158"/>
      <c r="F154" s="158"/>
      <c r="G154" s="158"/>
      <c r="H154" s="158"/>
      <c r="I154" s="158"/>
      <c r="J154" s="158"/>
      <c r="K154" s="158"/>
      <c r="L154" s="158"/>
      <c r="M154" s="158"/>
      <c r="N154" s="158"/>
      <c r="O154" s="158"/>
      <c r="P154" s="118"/>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row>
    <row r="155" ht="15.75" customHeight="1">
      <c r="A155" s="118"/>
      <c r="B155" s="118"/>
      <c r="C155" s="118"/>
      <c r="D155" s="158"/>
      <c r="E155" s="158"/>
      <c r="F155" s="158"/>
      <c r="G155" s="158"/>
      <c r="H155" s="158"/>
      <c r="I155" s="158"/>
      <c r="J155" s="158"/>
      <c r="K155" s="158"/>
      <c r="L155" s="158"/>
      <c r="M155" s="158"/>
      <c r="N155" s="158"/>
      <c r="O155" s="158"/>
      <c r="P155" s="118"/>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row>
    <row r="156" ht="15.75" customHeight="1">
      <c r="A156" s="118"/>
      <c r="B156" s="118"/>
      <c r="C156" s="118"/>
      <c r="D156" s="158"/>
      <c r="E156" s="158"/>
      <c r="F156" s="158"/>
      <c r="G156" s="158"/>
      <c r="H156" s="158"/>
      <c r="I156" s="158"/>
      <c r="J156" s="158"/>
      <c r="K156" s="158"/>
      <c r="L156" s="158"/>
      <c r="M156" s="158"/>
      <c r="N156" s="158"/>
      <c r="O156" s="158"/>
      <c r="P156" s="118"/>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row>
    <row r="157" ht="15.75" customHeight="1">
      <c r="A157" s="118"/>
      <c r="B157" s="118"/>
      <c r="C157" s="118"/>
      <c r="D157" s="158"/>
      <c r="E157" s="158"/>
      <c r="F157" s="158"/>
      <c r="G157" s="158"/>
      <c r="H157" s="158"/>
      <c r="I157" s="158"/>
      <c r="J157" s="158"/>
      <c r="K157" s="158"/>
      <c r="L157" s="158"/>
      <c r="M157" s="158"/>
      <c r="N157" s="158"/>
      <c r="O157" s="158"/>
      <c r="P157" s="118"/>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row>
    <row r="158" ht="15.75" customHeight="1">
      <c r="A158" s="118"/>
      <c r="B158" s="118"/>
      <c r="C158" s="118"/>
      <c r="D158" s="158"/>
      <c r="E158" s="158"/>
      <c r="F158" s="158"/>
      <c r="G158" s="158"/>
      <c r="H158" s="158"/>
      <c r="I158" s="158"/>
      <c r="J158" s="158"/>
      <c r="K158" s="158"/>
      <c r="L158" s="158"/>
      <c r="M158" s="158"/>
      <c r="N158" s="158"/>
      <c r="O158" s="158"/>
      <c r="P158" s="118"/>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row>
    <row r="159" ht="15.75" customHeight="1">
      <c r="A159" s="118"/>
      <c r="B159" s="118"/>
      <c r="C159" s="118"/>
      <c r="D159" s="158"/>
      <c r="E159" s="158"/>
      <c r="F159" s="158"/>
      <c r="G159" s="158"/>
      <c r="H159" s="158"/>
      <c r="I159" s="158"/>
      <c r="J159" s="158"/>
      <c r="K159" s="158"/>
      <c r="L159" s="158"/>
      <c r="M159" s="158"/>
      <c r="N159" s="158"/>
      <c r="O159" s="158"/>
      <c r="P159" s="118"/>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row>
    <row r="160" ht="15.75" customHeight="1">
      <c r="A160" s="118"/>
      <c r="B160" s="118"/>
      <c r="C160" s="118"/>
      <c r="D160" s="158"/>
      <c r="E160" s="158"/>
      <c r="F160" s="158"/>
      <c r="G160" s="158"/>
      <c r="H160" s="158"/>
      <c r="I160" s="158"/>
      <c r="J160" s="158"/>
      <c r="K160" s="158"/>
      <c r="L160" s="158"/>
      <c r="M160" s="158"/>
      <c r="N160" s="158"/>
      <c r="O160" s="158"/>
      <c r="P160" s="118"/>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row>
    <row r="161" ht="15.75" customHeight="1">
      <c r="A161" s="118"/>
      <c r="B161" s="118"/>
      <c r="C161" s="118"/>
      <c r="D161" s="158"/>
      <c r="E161" s="158"/>
      <c r="F161" s="158"/>
      <c r="G161" s="158"/>
      <c r="H161" s="158"/>
      <c r="I161" s="158"/>
      <c r="J161" s="158"/>
      <c r="K161" s="158"/>
      <c r="L161" s="158"/>
      <c r="M161" s="158"/>
      <c r="N161" s="158"/>
      <c r="O161" s="158"/>
      <c r="P161" s="118"/>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row>
    <row r="162" ht="15.75" customHeight="1">
      <c r="A162" s="118"/>
      <c r="B162" s="118"/>
      <c r="C162" s="118"/>
      <c r="D162" s="158"/>
      <c r="E162" s="158"/>
      <c r="F162" s="158"/>
      <c r="G162" s="158"/>
      <c r="H162" s="158"/>
      <c r="I162" s="158"/>
      <c r="J162" s="158"/>
      <c r="K162" s="158"/>
      <c r="L162" s="158"/>
      <c r="M162" s="158"/>
      <c r="N162" s="158"/>
      <c r="O162" s="158"/>
      <c r="P162" s="118"/>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row>
    <row r="163" ht="15.75" customHeight="1">
      <c r="A163" s="118"/>
      <c r="B163" s="118"/>
      <c r="C163" s="118"/>
      <c r="D163" s="158"/>
      <c r="E163" s="158"/>
      <c r="F163" s="158"/>
      <c r="G163" s="158"/>
      <c r="H163" s="158"/>
      <c r="I163" s="158"/>
      <c r="J163" s="158"/>
      <c r="K163" s="158"/>
      <c r="L163" s="158"/>
      <c r="M163" s="158"/>
      <c r="N163" s="158"/>
      <c r="O163" s="158"/>
      <c r="P163" s="118"/>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row>
    <row r="164" ht="15.75" customHeight="1">
      <c r="A164" s="118"/>
      <c r="B164" s="118"/>
      <c r="C164" s="118"/>
      <c r="D164" s="158"/>
      <c r="E164" s="158"/>
      <c r="F164" s="158"/>
      <c r="G164" s="158"/>
      <c r="H164" s="158"/>
      <c r="I164" s="158"/>
      <c r="J164" s="158"/>
      <c r="K164" s="158"/>
      <c r="L164" s="158"/>
      <c r="M164" s="158"/>
      <c r="N164" s="158"/>
      <c r="O164" s="158"/>
      <c r="P164" s="118"/>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row>
    <row r="165" ht="15.75" customHeight="1">
      <c r="A165" s="118"/>
      <c r="B165" s="118"/>
      <c r="C165" s="118"/>
      <c r="D165" s="158"/>
      <c r="E165" s="158"/>
      <c r="F165" s="158"/>
      <c r="G165" s="158"/>
      <c r="H165" s="158"/>
      <c r="I165" s="158"/>
      <c r="J165" s="158"/>
      <c r="K165" s="158"/>
      <c r="L165" s="158"/>
      <c r="M165" s="158"/>
      <c r="N165" s="158"/>
      <c r="O165" s="158"/>
      <c r="P165" s="118"/>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row>
    <row r="166" ht="15.75" customHeight="1">
      <c r="A166" s="118"/>
      <c r="B166" s="118"/>
      <c r="C166" s="118"/>
      <c r="D166" s="158"/>
      <c r="E166" s="158"/>
      <c r="F166" s="158"/>
      <c r="G166" s="158"/>
      <c r="H166" s="158"/>
      <c r="I166" s="158"/>
      <c r="J166" s="158"/>
      <c r="K166" s="158"/>
      <c r="L166" s="158"/>
      <c r="M166" s="158"/>
      <c r="N166" s="158"/>
      <c r="O166" s="158"/>
      <c r="P166" s="118"/>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row>
    <row r="167" ht="15.75" customHeight="1">
      <c r="A167" s="118"/>
      <c r="B167" s="118"/>
      <c r="C167" s="118"/>
      <c r="D167" s="158"/>
      <c r="E167" s="158"/>
      <c r="F167" s="158"/>
      <c r="G167" s="158"/>
      <c r="H167" s="158"/>
      <c r="I167" s="158"/>
      <c r="J167" s="158"/>
      <c r="K167" s="158"/>
      <c r="L167" s="158"/>
      <c r="M167" s="158"/>
      <c r="N167" s="158"/>
      <c r="O167" s="158"/>
      <c r="P167" s="118"/>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row>
    <row r="168" ht="15.75" customHeight="1">
      <c r="A168" s="118"/>
      <c r="B168" s="118"/>
      <c r="C168" s="118"/>
      <c r="D168" s="158"/>
      <c r="E168" s="158"/>
      <c r="F168" s="158"/>
      <c r="G168" s="158"/>
      <c r="H168" s="158"/>
      <c r="I168" s="158"/>
      <c r="J168" s="158"/>
      <c r="K168" s="158"/>
      <c r="L168" s="158"/>
      <c r="M168" s="158"/>
      <c r="N168" s="158"/>
      <c r="O168" s="158"/>
      <c r="P168" s="118"/>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row>
    <row r="169" ht="15.75" customHeight="1">
      <c r="A169" s="118"/>
      <c r="B169" s="118"/>
      <c r="C169" s="118"/>
      <c r="D169" s="158"/>
      <c r="E169" s="158"/>
      <c r="F169" s="158"/>
      <c r="G169" s="158"/>
      <c r="H169" s="158"/>
      <c r="I169" s="158"/>
      <c r="J169" s="158"/>
      <c r="K169" s="158"/>
      <c r="L169" s="158"/>
      <c r="M169" s="158"/>
      <c r="N169" s="158"/>
      <c r="O169" s="158"/>
      <c r="P169" s="118"/>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row>
    <row r="170" ht="15.75" customHeight="1">
      <c r="A170" s="118"/>
      <c r="B170" s="118"/>
      <c r="C170" s="118"/>
      <c r="D170" s="158"/>
      <c r="E170" s="158"/>
      <c r="F170" s="158"/>
      <c r="G170" s="158"/>
      <c r="H170" s="158"/>
      <c r="I170" s="158"/>
      <c r="J170" s="158"/>
      <c r="K170" s="158"/>
      <c r="L170" s="158"/>
      <c r="M170" s="158"/>
      <c r="N170" s="158"/>
      <c r="O170" s="158"/>
      <c r="P170" s="118"/>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row>
    <row r="171" ht="15.75" customHeight="1">
      <c r="A171" s="118"/>
      <c r="B171" s="118"/>
      <c r="C171" s="118"/>
      <c r="D171" s="158"/>
      <c r="E171" s="158"/>
      <c r="F171" s="158"/>
      <c r="G171" s="158"/>
      <c r="H171" s="158"/>
      <c r="I171" s="158"/>
      <c r="J171" s="158"/>
      <c r="K171" s="158"/>
      <c r="L171" s="158"/>
      <c r="M171" s="158"/>
      <c r="N171" s="158"/>
      <c r="O171" s="158"/>
      <c r="P171" s="118"/>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row>
    <row r="172" ht="15.75" customHeight="1">
      <c r="A172" s="118"/>
      <c r="B172" s="118"/>
      <c r="C172" s="118"/>
      <c r="D172" s="158"/>
      <c r="E172" s="158"/>
      <c r="F172" s="158"/>
      <c r="G172" s="158"/>
      <c r="H172" s="158"/>
      <c r="I172" s="158"/>
      <c r="J172" s="158"/>
      <c r="K172" s="158"/>
      <c r="L172" s="158"/>
      <c r="M172" s="158"/>
      <c r="N172" s="158"/>
      <c r="O172" s="158"/>
      <c r="P172" s="118"/>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row>
    <row r="173" ht="15.75" customHeight="1">
      <c r="A173" s="118"/>
      <c r="B173" s="118"/>
      <c r="C173" s="118"/>
      <c r="D173" s="158"/>
      <c r="E173" s="158"/>
      <c r="F173" s="158"/>
      <c r="G173" s="158"/>
      <c r="H173" s="158"/>
      <c r="I173" s="158"/>
      <c r="J173" s="158"/>
      <c r="K173" s="158"/>
      <c r="L173" s="158"/>
      <c r="M173" s="158"/>
      <c r="N173" s="158"/>
      <c r="O173" s="158"/>
      <c r="P173" s="118"/>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row>
    <row r="174" ht="15.75" customHeight="1">
      <c r="A174" s="118"/>
      <c r="B174" s="118"/>
      <c r="C174" s="118"/>
      <c r="D174" s="158"/>
      <c r="E174" s="158"/>
      <c r="F174" s="158"/>
      <c r="G174" s="158"/>
      <c r="H174" s="158"/>
      <c r="I174" s="158"/>
      <c r="J174" s="158"/>
      <c r="K174" s="158"/>
      <c r="L174" s="158"/>
      <c r="M174" s="158"/>
      <c r="N174" s="158"/>
      <c r="O174" s="158"/>
      <c r="P174" s="118"/>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row>
    <row r="175" ht="15.75" customHeight="1">
      <c r="A175" s="118"/>
      <c r="B175" s="118"/>
      <c r="C175" s="118"/>
      <c r="D175" s="158"/>
      <c r="E175" s="158"/>
      <c r="F175" s="158"/>
      <c r="G175" s="158"/>
      <c r="H175" s="158"/>
      <c r="I175" s="158"/>
      <c r="J175" s="158"/>
      <c r="K175" s="158"/>
      <c r="L175" s="158"/>
      <c r="M175" s="158"/>
      <c r="N175" s="158"/>
      <c r="O175" s="158"/>
      <c r="P175" s="118"/>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row>
    <row r="176" ht="15.75" customHeight="1">
      <c r="A176" s="118"/>
      <c r="B176" s="118"/>
      <c r="C176" s="118"/>
      <c r="D176" s="158"/>
      <c r="E176" s="158"/>
      <c r="F176" s="158"/>
      <c r="G176" s="158"/>
      <c r="H176" s="158"/>
      <c r="I176" s="158"/>
      <c r="J176" s="158"/>
      <c r="K176" s="158"/>
      <c r="L176" s="158"/>
      <c r="M176" s="158"/>
      <c r="N176" s="158"/>
      <c r="O176" s="158"/>
      <c r="P176" s="118"/>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row>
    <row r="177" ht="15.75" customHeight="1">
      <c r="A177" s="118"/>
      <c r="B177" s="118"/>
      <c r="C177" s="118"/>
      <c r="D177" s="158"/>
      <c r="E177" s="158"/>
      <c r="F177" s="158"/>
      <c r="G177" s="158"/>
      <c r="H177" s="158"/>
      <c r="I177" s="158"/>
      <c r="J177" s="158"/>
      <c r="K177" s="158"/>
      <c r="L177" s="158"/>
      <c r="M177" s="158"/>
      <c r="N177" s="158"/>
      <c r="O177" s="158"/>
      <c r="P177" s="118"/>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row>
    <row r="178" ht="15.75" customHeight="1">
      <c r="A178" s="118"/>
      <c r="B178" s="118"/>
      <c r="C178" s="118"/>
      <c r="D178" s="158"/>
      <c r="E178" s="158"/>
      <c r="F178" s="158"/>
      <c r="G178" s="158"/>
      <c r="H178" s="158"/>
      <c r="I178" s="158"/>
      <c r="J178" s="158"/>
      <c r="K178" s="158"/>
      <c r="L178" s="158"/>
      <c r="M178" s="158"/>
      <c r="N178" s="158"/>
      <c r="O178" s="158"/>
      <c r="P178" s="118"/>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row>
    <row r="179" ht="15.75" customHeight="1">
      <c r="A179" s="118"/>
      <c r="B179" s="118"/>
      <c r="C179" s="118"/>
      <c r="D179" s="158"/>
      <c r="E179" s="158"/>
      <c r="F179" s="158"/>
      <c r="G179" s="158"/>
      <c r="H179" s="158"/>
      <c r="I179" s="158"/>
      <c r="J179" s="158"/>
      <c r="K179" s="158"/>
      <c r="L179" s="158"/>
      <c r="M179" s="158"/>
      <c r="N179" s="158"/>
      <c r="O179" s="158"/>
      <c r="P179" s="118"/>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row>
    <row r="180" ht="15.75" customHeight="1">
      <c r="A180" s="118"/>
      <c r="B180" s="118"/>
      <c r="C180" s="118"/>
      <c r="D180" s="158"/>
      <c r="E180" s="158"/>
      <c r="F180" s="158"/>
      <c r="G180" s="158"/>
      <c r="H180" s="158"/>
      <c r="I180" s="158"/>
      <c r="J180" s="158"/>
      <c r="K180" s="158"/>
      <c r="L180" s="158"/>
      <c r="M180" s="158"/>
      <c r="N180" s="158"/>
      <c r="O180" s="158"/>
      <c r="P180" s="118"/>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row>
    <row r="181" ht="15.75" customHeight="1">
      <c r="A181" s="118"/>
      <c r="B181" s="118"/>
      <c r="C181" s="118"/>
      <c r="D181" s="158"/>
      <c r="E181" s="158"/>
      <c r="F181" s="158"/>
      <c r="G181" s="158"/>
      <c r="H181" s="158"/>
      <c r="I181" s="158"/>
      <c r="J181" s="158"/>
      <c r="K181" s="158"/>
      <c r="L181" s="158"/>
      <c r="M181" s="158"/>
      <c r="N181" s="158"/>
      <c r="O181" s="158"/>
      <c r="P181" s="118"/>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row>
    <row r="182" ht="15.75" customHeight="1">
      <c r="A182" s="118"/>
      <c r="B182" s="118"/>
      <c r="C182" s="118"/>
      <c r="D182" s="158"/>
      <c r="E182" s="158"/>
      <c r="F182" s="158"/>
      <c r="G182" s="158"/>
      <c r="H182" s="158"/>
      <c r="I182" s="158"/>
      <c r="J182" s="158"/>
      <c r="K182" s="158"/>
      <c r="L182" s="158"/>
      <c r="M182" s="158"/>
      <c r="N182" s="158"/>
      <c r="O182" s="158"/>
      <c r="P182" s="118"/>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row>
    <row r="183" ht="15.75" customHeight="1">
      <c r="A183" s="118"/>
      <c r="B183" s="118"/>
      <c r="C183" s="118"/>
      <c r="D183" s="158"/>
      <c r="E183" s="158"/>
      <c r="F183" s="158"/>
      <c r="G183" s="158"/>
      <c r="H183" s="158"/>
      <c r="I183" s="158"/>
      <c r="J183" s="158"/>
      <c r="K183" s="158"/>
      <c r="L183" s="158"/>
      <c r="M183" s="158"/>
      <c r="N183" s="158"/>
      <c r="O183" s="158"/>
      <c r="P183" s="118"/>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row>
    <row r="184" ht="15.75" customHeight="1">
      <c r="A184" s="118"/>
      <c r="B184" s="118"/>
      <c r="C184" s="118"/>
      <c r="D184" s="158"/>
      <c r="E184" s="158"/>
      <c r="F184" s="158"/>
      <c r="G184" s="158"/>
      <c r="H184" s="158"/>
      <c r="I184" s="158"/>
      <c r="J184" s="158"/>
      <c r="K184" s="158"/>
      <c r="L184" s="158"/>
      <c r="M184" s="158"/>
      <c r="N184" s="158"/>
      <c r="O184" s="158"/>
      <c r="P184" s="118"/>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row>
    <row r="185" ht="15.75" customHeight="1">
      <c r="A185" s="118"/>
      <c r="B185" s="118"/>
      <c r="C185" s="118"/>
      <c r="D185" s="158"/>
      <c r="E185" s="158"/>
      <c r="F185" s="158"/>
      <c r="G185" s="158"/>
      <c r="H185" s="158"/>
      <c r="I185" s="158"/>
      <c r="J185" s="158"/>
      <c r="K185" s="158"/>
      <c r="L185" s="158"/>
      <c r="M185" s="158"/>
      <c r="N185" s="158"/>
      <c r="O185" s="158"/>
      <c r="P185" s="118"/>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row>
    <row r="186" ht="15.75" customHeight="1">
      <c r="A186" s="118"/>
      <c r="B186" s="118"/>
      <c r="C186" s="118"/>
      <c r="D186" s="158"/>
      <c r="E186" s="158"/>
      <c r="F186" s="158"/>
      <c r="G186" s="158"/>
      <c r="H186" s="158"/>
      <c r="I186" s="158"/>
      <c r="J186" s="158"/>
      <c r="K186" s="158"/>
      <c r="L186" s="158"/>
      <c r="M186" s="158"/>
      <c r="N186" s="158"/>
      <c r="O186" s="158"/>
      <c r="P186" s="118"/>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row>
    <row r="187" ht="15.75" customHeight="1">
      <c r="A187" s="118"/>
      <c r="B187" s="118"/>
      <c r="C187" s="118"/>
      <c r="D187" s="158"/>
      <c r="E187" s="158"/>
      <c r="F187" s="158"/>
      <c r="G187" s="158"/>
      <c r="H187" s="158"/>
      <c r="I187" s="158"/>
      <c r="J187" s="158"/>
      <c r="K187" s="158"/>
      <c r="L187" s="158"/>
      <c r="M187" s="158"/>
      <c r="N187" s="158"/>
      <c r="O187" s="158"/>
      <c r="P187" s="118"/>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row>
    <row r="188" ht="15.75" customHeight="1">
      <c r="A188" s="118"/>
      <c r="B188" s="118"/>
      <c r="C188" s="118"/>
      <c r="D188" s="158"/>
      <c r="E188" s="158"/>
      <c r="F188" s="158"/>
      <c r="G188" s="158"/>
      <c r="H188" s="158"/>
      <c r="I188" s="158"/>
      <c r="J188" s="158"/>
      <c r="K188" s="158"/>
      <c r="L188" s="158"/>
      <c r="M188" s="158"/>
      <c r="N188" s="158"/>
      <c r="O188" s="158"/>
      <c r="P188" s="118"/>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row>
    <row r="189" ht="15.75" customHeight="1">
      <c r="A189" s="118"/>
      <c r="B189" s="118"/>
      <c r="C189" s="118"/>
      <c r="D189" s="158"/>
      <c r="E189" s="158"/>
      <c r="F189" s="158"/>
      <c r="G189" s="158"/>
      <c r="H189" s="158"/>
      <c r="I189" s="158"/>
      <c r="J189" s="158"/>
      <c r="K189" s="158"/>
      <c r="L189" s="158"/>
      <c r="M189" s="158"/>
      <c r="N189" s="158"/>
      <c r="O189" s="158"/>
      <c r="P189" s="118"/>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row>
    <row r="190" ht="15.75" customHeight="1">
      <c r="A190" s="118"/>
      <c r="B190" s="118"/>
      <c r="C190" s="118"/>
      <c r="D190" s="158"/>
      <c r="E190" s="158"/>
      <c r="F190" s="158"/>
      <c r="G190" s="158"/>
      <c r="H190" s="158"/>
      <c r="I190" s="158"/>
      <c r="J190" s="158"/>
      <c r="K190" s="158"/>
      <c r="L190" s="158"/>
      <c r="M190" s="158"/>
      <c r="N190" s="158"/>
      <c r="O190" s="158"/>
      <c r="P190" s="118"/>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row>
    <row r="191" ht="15.75" customHeight="1">
      <c r="A191" s="118"/>
      <c r="B191" s="118"/>
      <c r="C191" s="118"/>
      <c r="D191" s="158"/>
      <c r="E191" s="158"/>
      <c r="F191" s="158"/>
      <c r="G191" s="158"/>
      <c r="H191" s="158"/>
      <c r="I191" s="158"/>
      <c r="J191" s="158"/>
      <c r="K191" s="158"/>
      <c r="L191" s="158"/>
      <c r="M191" s="158"/>
      <c r="N191" s="158"/>
      <c r="O191" s="158"/>
      <c r="P191" s="118"/>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row>
    <row r="192" ht="15.75" customHeight="1">
      <c r="A192" s="118"/>
      <c r="B192" s="118"/>
      <c r="C192" s="118"/>
      <c r="D192" s="158"/>
      <c r="E192" s="158"/>
      <c r="F192" s="158"/>
      <c r="G192" s="158"/>
      <c r="H192" s="158"/>
      <c r="I192" s="158"/>
      <c r="J192" s="158"/>
      <c r="K192" s="158"/>
      <c r="L192" s="158"/>
      <c r="M192" s="158"/>
      <c r="N192" s="158"/>
      <c r="O192" s="158"/>
      <c r="P192" s="118"/>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row>
    <row r="193" ht="15.75" customHeight="1">
      <c r="A193" s="118"/>
      <c r="B193" s="118"/>
      <c r="C193" s="118"/>
      <c r="D193" s="158"/>
      <c r="E193" s="158"/>
      <c r="F193" s="158"/>
      <c r="G193" s="158"/>
      <c r="H193" s="158"/>
      <c r="I193" s="158"/>
      <c r="J193" s="158"/>
      <c r="K193" s="158"/>
      <c r="L193" s="158"/>
      <c r="M193" s="158"/>
      <c r="N193" s="158"/>
      <c r="O193" s="158"/>
      <c r="P193" s="118"/>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row>
    <row r="194" ht="15.75" customHeight="1">
      <c r="A194" s="118"/>
      <c r="B194" s="118"/>
      <c r="C194" s="118"/>
      <c r="D194" s="158"/>
      <c r="E194" s="158"/>
      <c r="F194" s="158"/>
      <c r="G194" s="158"/>
      <c r="H194" s="158"/>
      <c r="I194" s="158"/>
      <c r="J194" s="158"/>
      <c r="K194" s="158"/>
      <c r="L194" s="158"/>
      <c r="M194" s="158"/>
      <c r="N194" s="158"/>
      <c r="O194" s="158"/>
      <c r="P194" s="118"/>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row>
    <row r="195" ht="15.75" customHeight="1">
      <c r="A195" s="118"/>
      <c r="B195" s="118"/>
      <c r="C195" s="118"/>
      <c r="D195" s="158"/>
      <c r="E195" s="158"/>
      <c r="F195" s="158"/>
      <c r="G195" s="158"/>
      <c r="H195" s="158"/>
      <c r="I195" s="158"/>
      <c r="J195" s="158"/>
      <c r="K195" s="158"/>
      <c r="L195" s="158"/>
      <c r="M195" s="158"/>
      <c r="N195" s="158"/>
      <c r="O195" s="158"/>
      <c r="P195" s="118"/>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row>
    <row r="196" ht="15.75" customHeight="1">
      <c r="A196" s="118"/>
      <c r="B196" s="118"/>
      <c r="C196" s="118"/>
      <c r="D196" s="158"/>
      <c r="E196" s="158"/>
      <c r="F196" s="158"/>
      <c r="G196" s="158"/>
      <c r="H196" s="158"/>
      <c r="I196" s="158"/>
      <c r="J196" s="158"/>
      <c r="K196" s="158"/>
      <c r="L196" s="158"/>
      <c r="M196" s="158"/>
      <c r="N196" s="158"/>
      <c r="O196" s="158"/>
      <c r="P196" s="118"/>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row>
    <row r="197" ht="15.75" customHeight="1">
      <c r="A197" s="118"/>
      <c r="B197" s="118"/>
      <c r="C197" s="118"/>
      <c r="D197" s="158"/>
      <c r="E197" s="158"/>
      <c r="F197" s="158"/>
      <c r="G197" s="158"/>
      <c r="H197" s="158"/>
      <c r="I197" s="158"/>
      <c r="J197" s="158"/>
      <c r="K197" s="158"/>
      <c r="L197" s="158"/>
      <c r="M197" s="158"/>
      <c r="N197" s="158"/>
      <c r="O197" s="158"/>
      <c r="P197" s="118"/>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row>
    <row r="198" ht="15.75" customHeight="1">
      <c r="A198" s="118"/>
      <c r="B198" s="118"/>
      <c r="C198" s="118"/>
      <c r="D198" s="158"/>
      <c r="E198" s="158"/>
      <c r="F198" s="158"/>
      <c r="G198" s="158"/>
      <c r="H198" s="158"/>
      <c r="I198" s="158"/>
      <c r="J198" s="158"/>
      <c r="K198" s="158"/>
      <c r="L198" s="158"/>
      <c r="M198" s="158"/>
      <c r="N198" s="158"/>
      <c r="O198" s="158"/>
      <c r="P198" s="118"/>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row>
    <row r="199" ht="15.75" customHeight="1">
      <c r="A199" s="118"/>
      <c r="B199" s="118"/>
      <c r="C199" s="118"/>
      <c r="D199" s="158"/>
      <c r="E199" s="158"/>
      <c r="F199" s="158"/>
      <c r="G199" s="158"/>
      <c r="H199" s="158"/>
      <c r="I199" s="158"/>
      <c r="J199" s="158"/>
      <c r="K199" s="158"/>
      <c r="L199" s="158"/>
      <c r="M199" s="158"/>
      <c r="N199" s="158"/>
      <c r="O199" s="158"/>
      <c r="P199" s="118"/>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row>
    <row r="200" ht="15.75" customHeight="1">
      <c r="A200" s="118"/>
      <c r="B200" s="118"/>
      <c r="C200" s="118"/>
      <c r="D200" s="158"/>
      <c r="E200" s="158"/>
      <c r="F200" s="158"/>
      <c r="G200" s="158"/>
      <c r="H200" s="158"/>
      <c r="I200" s="158"/>
      <c r="J200" s="158"/>
      <c r="K200" s="158"/>
      <c r="L200" s="158"/>
      <c r="M200" s="158"/>
      <c r="N200" s="158"/>
      <c r="O200" s="158"/>
      <c r="P200" s="118"/>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row>
    <row r="201" ht="15.75" customHeight="1">
      <c r="A201" s="118"/>
      <c r="B201" s="118"/>
      <c r="C201" s="118"/>
      <c r="D201" s="158"/>
      <c r="E201" s="158"/>
      <c r="F201" s="158"/>
      <c r="G201" s="158"/>
      <c r="H201" s="158"/>
      <c r="I201" s="158"/>
      <c r="J201" s="158"/>
      <c r="K201" s="158"/>
      <c r="L201" s="158"/>
      <c r="M201" s="158"/>
      <c r="N201" s="158"/>
      <c r="O201" s="158"/>
      <c r="P201" s="118"/>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row>
    <row r="202" ht="15.75" customHeight="1">
      <c r="A202" s="118"/>
      <c r="B202" s="118"/>
      <c r="C202" s="118"/>
      <c r="D202" s="158"/>
      <c r="E202" s="158"/>
      <c r="F202" s="158"/>
      <c r="G202" s="158"/>
      <c r="H202" s="158"/>
      <c r="I202" s="158"/>
      <c r="J202" s="158"/>
      <c r="K202" s="158"/>
      <c r="L202" s="158"/>
      <c r="M202" s="158"/>
      <c r="N202" s="158"/>
      <c r="O202" s="158"/>
      <c r="P202" s="118"/>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row>
    <row r="203" ht="15.75" customHeight="1">
      <c r="A203" s="118"/>
      <c r="B203" s="118"/>
      <c r="C203" s="118"/>
      <c r="D203" s="158"/>
      <c r="E203" s="158"/>
      <c r="F203" s="158"/>
      <c r="G203" s="158"/>
      <c r="H203" s="158"/>
      <c r="I203" s="158"/>
      <c r="J203" s="158"/>
      <c r="K203" s="158"/>
      <c r="L203" s="158"/>
      <c r="M203" s="158"/>
      <c r="N203" s="158"/>
      <c r="O203" s="158"/>
      <c r="P203" s="118"/>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row>
    <row r="204" ht="15.75" customHeight="1">
      <c r="A204" s="118"/>
      <c r="B204" s="118"/>
      <c r="C204" s="118"/>
      <c r="D204" s="158"/>
      <c r="E204" s="158"/>
      <c r="F204" s="158"/>
      <c r="G204" s="158"/>
      <c r="H204" s="158"/>
      <c r="I204" s="158"/>
      <c r="J204" s="158"/>
      <c r="K204" s="158"/>
      <c r="L204" s="158"/>
      <c r="M204" s="158"/>
      <c r="N204" s="158"/>
      <c r="O204" s="158"/>
      <c r="P204" s="118"/>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row>
    <row r="205" ht="15.75" customHeight="1">
      <c r="A205" s="118"/>
      <c r="B205" s="118"/>
      <c r="C205" s="118"/>
      <c r="D205" s="158"/>
      <c r="E205" s="158"/>
      <c r="F205" s="158"/>
      <c r="G205" s="158"/>
      <c r="H205" s="158"/>
      <c r="I205" s="158"/>
      <c r="J205" s="158"/>
      <c r="K205" s="158"/>
      <c r="L205" s="158"/>
      <c r="M205" s="158"/>
      <c r="N205" s="158"/>
      <c r="O205" s="158"/>
      <c r="P205" s="118"/>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row>
    <row r="206" ht="15.75" customHeight="1">
      <c r="A206" s="118"/>
      <c r="B206" s="118"/>
      <c r="C206" s="118"/>
      <c r="D206" s="158"/>
      <c r="E206" s="158"/>
      <c r="F206" s="158"/>
      <c r="G206" s="158"/>
      <c r="H206" s="158"/>
      <c r="I206" s="158"/>
      <c r="J206" s="158"/>
      <c r="K206" s="158"/>
      <c r="L206" s="158"/>
      <c r="M206" s="158"/>
      <c r="N206" s="158"/>
      <c r="O206" s="158"/>
      <c r="P206" s="118"/>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row>
    <row r="207" ht="15.75" customHeight="1">
      <c r="A207" s="118"/>
      <c r="B207" s="118"/>
      <c r="C207" s="118"/>
      <c r="D207" s="158"/>
      <c r="E207" s="158"/>
      <c r="F207" s="158"/>
      <c r="G207" s="158"/>
      <c r="H207" s="158"/>
      <c r="I207" s="158"/>
      <c r="J207" s="158"/>
      <c r="K207" s="158"/>
      <c r="L207" s="158"/>
      <c r="M207" s="158"/>
      <c r="N207" s="158"/>
      <c r="O207" s="158"/>
      <c r="P207" s="118"/>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row>
    <row r="208" ht="15.75" customHeight="1">
      <c r="A208" s="118"/>
      <c r="B208" s="118"/>
      <c r="C208" s="118"/>
      <c r="D208" s="158"/>
      <c r="E208" s="158"/>
      <c r="F208" s="158"/>
      <c r="G208" s="158"/>
      <c r="H208" s="158"/>
      <c r="I208" s="158"/>
      <c r="J208" s="158"/>
      <c r="K208" s="158"/>
      <c r="L208" s="158"/>
      <c r="M208" s="158"/>
      <c r="N208" s="158"/>
      <c r="O208" s="158"/>
      <c r="P208" s="118"/>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row>
    <row r="209" ht="15.75" customHeight="1">
      <c r="A209" s="118"/>
      <c r="B209" s="118"/>
      <c r="C209" s="118"/>
      <c r="D209" s="158"/>
      <c r="E209" s="158"/>
      <c r="F209" s="158"/>
      <c r="G209" s="158"/>
      <c r="H209" s="158"/>
      <c r="I209" s="158"/>
      <c r="J209" s="158"/>
      <c r="K209" s="158"/>
      <c r="L209" s="158"/>
      <c r="M209" s="158"/>
      <c r="N209" s="158"/>
      <c r="O209" s="158"/>
      <c r="P209" s="118"/>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row>
    <row r="210" ht="15.75" customHeight="1">
      <c r="A210" s="118"/>
      <c r="B210" s="118"/>
      <c r="C210" s="118"/>
      <c r="D210" s="158"/>
      <c r="E210" s="158"/>
      <c r="F210" s="158"/>
      <c r="G210" s="158"/>
      <c r="H210" s="158"/>
      <c r="I210" s="158"/>
      <c r="J210" s="158"/>
      <c r="K210" s="158"/>
      <c r="L210" s="158"/>
      <c r="M210" s="158"/>
      <c r="N210" s="158"/>
      <c r="O210" s="158"/>
      <c r="P210" s="118"/>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row>
    <row r="211" ht="15.75" customHeight="1">
      <c r="A211" s="118"/>
      <c r="B211" s="118"/>
      <c r="C211" s="118"/>
      <c r="D211" s="158"/>
      <c r="E211" s="158"/>
      <c r="F211" s="158"/>
      <c r="G211" s="158"/>
      <c r="H211" s="158"/>
      <c r="I211" s="158"/>
      <c r="J211" s="158"/>
      <c r="K211" s="158"/>
      <c r="L211" s="158"/>
      <c r="M211" s="158"/>
      <c r="N211" s="158"/>
      <c r="O211" s="158"/>
      <c r="P211" s="118"/>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row>
    <row r="212" ht="15.75" customHeight="1">
      <c r="A212" s="118"/>
      <c r="B212" s="118"/>
      <c r="C212" s="118"/>
      <c r="D212" s="158"/>
      <c r="E212" s="158"/>
      <c r="F212" s="158"/>
      <c r="G212" s="158"/>
      <c r="H212" s="158"/>
      <c r="I212" s="158"/>
      <c r="J212" s="158"/>
      <c r="K212" s="158"/>
      <c r="L212" s="158"/>
      <c r="M212" s="158"/>
      <c r="N212" s="158"/>
      <c r="O212" s="158"/>
      <c r="P212" s="118"/>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row>
    <row r="213" ht="15.75" customHeight="1">
      <c r="A213" s="118"/>
      <c r="B213" s="118"/>
      <c r="C213" s="118"/>
      <c r="D213" s="158"/>
      <c r="E213" s="158"/>
      <c r="F213" s="158"/>
      <c r="G213" s="158"/>
      <c r="H213" s="158"/>
      <c r="I213" s="158"/>
      <c r="J213" s="158"/>
      <c r="K213" s="158"/>
      <c r="L213" s="158"/>
      <c r="M213" s="158"/>
      <c r="N213" s="158"/>
      <c r="O213" s="158"/>
      <c r="P213" s="118"/>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row>
    <row r="214" ht="15.75" customHeight="1">
      <c r="A214" s="118"/>
      <c r="B214" s="118"/>
      <c r="C214" s="118"/>
      <c r="D214" s="158"/>
      <c r="E214" s="158"/>
      <c r="F214" s="158"/>
      <c r="G214" s="158"/>
      <c r="H214" s="158"/>
      <c r="I214" s="158"/>
      <c r="J214" s="158"/>
      <c r="K214" s="158"/>
      <c r="L214" s="158"/>
      <c r="M214" s="158"/>
      <c r="N214" s="158"/>
      <c r="O214" s="158"/>
      <c r="P214" s="118"/>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row>
    <row r="215" ht="15.75" customHeight="1">
      <c r="A215" s="118"/>
      <c r="B215" s="118"/>
      <c r="C215" s="118"/>
      <c r="D215" s="158"/>
      <c r="E215" s="158"/>
      <c r="F215" s="158"/>
      <c r="G215" s="158"/>
      <c r="H215" s="158"/>
      <c r="I215" s="158"/>
      <c r="J215" s="158"/>
      <c r="K215" s="158"/>
      <c r="L215" s="158"/>
      <c r="M215" s="158"/>
      <c r="N215" s="158"/>
      <c r="O215" s="158"/>
      <c r="P215" s="118"/>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row>
    <row r="216" ht="15.75" customHeight="1">
      <c r="A216" s="118"/>
      <c r="B216" s="118"/>
      <c r="C216" s="118"/>
      <c r="D216" s="158"/>
      <c r="E216" s="158"/>
      <c r="F216" s="158"/>
      <c r="G216" s="158"/>
      <c r="H216" s="158"/>
      <c r="I216" s="158"/>
      <c r="J216" s="158"/>
      <c r="K216" s="158"/>
      <c r="L216" s="158"/>
      <c r="M216" s="158"/>
      <c r="N216" s="158"/>
      <c r="O216" s="158"/>
      <c r="P216" s="118"/>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row>
    <row r="217" ht="15.75" customHeight="1">
      <c r="A217" s="118"/>
      <c r="B217" s="118"/>
      <c r="C217" s="118"/>
      <c r="D217" s="158"/>
      <c r="E217" s="158"/>
      <c r="F217" s="158"/>
      <c r="G217" s="158"/>
      <c r="H217" s="158"/>
      <c r="I217" s="158"/>
      <c r="J217" s="158"/>
      <c r="K217" s="158"/>
      <c r="L217" s="158"/>
      <c r="M217" s="158"/>
      <c r="N217" s="158"/>
      <c r="O217" s="158"/>
      <c r="P217" s="118"/>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row>
    <row r="218" ht="15.75" customHeight="1">
      <c r="A218" s="118"/>
      <c r="B218" s="118"/>
      <c r="C218" s="118"/>
      <c r="D218" s="158"/>
      <c r="E218" s="158"/>
      <c r="F218" s="158"/>
      <c r="G218" s="158"/>
      <c r="H218" s="158"/>
      <c r="I218" s="158"/>
      <c r="J218" s="158"/>
      <c r="K218" s="158"/>
      <c r="L218" s="158"/>
      <c r="M218" s="158"/>
      <c r="N218" s="158"/>
      <c r="O218" s="158"/>
      <c r="P218" s="118"/>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row>
    <row r="219" ht="15.75" customHeight="1">
      <c r="A219" s="118"/>
      <c r="B219" s="118"/>
      <c r="C219" s="118"/>
      <c r="D219" s="158"/>
      <c r="E219" s="158"/>
      <c r="F219" s="158"/>
      <c r="G219" s="158"/>
      <c r="H219" s="158"/>
      <c r="I219" s="158"/>
      <c r="J219" s="158"/>
      <c r="K219" s="158"/>
      <c r="L219" s="158"/>
      <c r="M219" s="158"/>
      <c r="N219" s="158"/>
      <c r="O219" s="158"/>
      <c r="P219" s="118"/>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row>
    <row r="220" ht="15.75" customHeight="1">
      <c r="A220" s="118"/>
      <c r="B220" s="118"/>
      <c r="C220" s="118"/>
      <c r="D220" s="158"/>
      <c r="E220" s="158"/>
      <c r="F220" s="158"/>
      <c r="G220" s="158"/>
      <c r="H220" s="158"/>
      <c r="I220" s="158"/>
      <c r="J220" s="158"/>
      <c r="K220" s="158"/>
      <c r="L220" s="158"/>
      <c r="M220" s="158"/>
      <c r="N220" s="158"/>
      <c r="O220" s="158"/>
      <c r="P220" s="118"/>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row>
    <row r="221" ht="15.75" customHeight="1">
      <c r="A221" s="118"/>
      <c r="B221" s="118"/>
      <c r="C221" s="118"/>
      <c r="D221" s="158"/>
      <c r="E221" s="158"/>
      <c r="F221" s="158"/>
      <c r="G221" s="158"/>
      <c r="H221" s="158"/>
      <c r="I221" s="158"/>
      <c r="J221" s="158"/>
      <c r="K221" s="158"/>
      <c r="L221" s="158"/>
      <c r="M221" s="158"/>
      <c r="N221" s="158"/>
      <c r="O221" s="158"/>
      <c r="P221" s="118"/>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row>
    <row r="222" ht="15.75" customHeight="1">
      <c r="A222" s="118"/>
      <c r="B222" s="118"/>
      <c r="C222" s="118"/>
      <c r="D222" s="158"/>
      <c r="E222" s="158"/>
      <c r="F222" s="158"/>
      <c r="G222" s="158"/>
      <c r="H222" s="158"/>
      <c r="I222" s="158"/>
      <c r="J222" s="158"/>
      <c r="K222" s="158"/>
      <c r="L222" s="158"/>
      <c r="M222" s="158"/>
      <c r="N222" s="158"/>
      <c r="O222" s="158"/>
      <c r="P222" s="118"/>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row>
    <row r="223" ht="15.75" customHeight="1">
      <c r="A223" s="118"/>
      <c r="B223" s="118"/>
      <c r="C223" s="118"/>
      <c r="D223" s="158"/>
      <c r="E223" s="158"/>
      <c r="F223" s="158"/>
      <c r="G223" s="158"/>
      <c r="H223" s="158"/>
      <c r="I223" s="158"/>
      <c r="J223" s="158"/>
      <c r="K223" s="158"/>
      <c r="L223" s="158"/>
      <c r="M223" s="158"/>
      <c r="N223" s="158"/>
      <c r="O223" s="158"/>
      <c r="P223" s="118"/>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row>
    <row r="224" ht="15.75" customHeight="1">
      <c r="A224" s="118"/>
      <c r="B224" s="118"/>
      <c r="C224" s="118"/>
      <c r="D224" s="158"/>
      <c r="E224" s="158"/>
      <c r="F224" s="158"/>
      <c r="G224" s="158"/>
      <c r="H224" s="158"/>
      <c r="I224" s="158"/>
      <c r="J224" s="158"/>
      <c r="K224" s="158"/>
      <c r="L224" s="158"/>
      <c r="M224" s="158"/>
      <c r="N224" s="158"/>
      <c r="O224" s="158"/>
      <c r="P224" s="118"/>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row>
    <row r="225" ht="15.75" customHeight="1">
      <c r="A225" s="118"/>
      <c r="B225" s="118"/>
      <c r="C225" s="118"/>
      <c r="D225" s="158"/>
      <c r="E225" s="158"/>
      <c r="F225" s="158"/>
      <c r="G225" s="158"/>
      <c r="H225" s="158"/>
      <c r="I225" s="158"/>
      <c r="J225" s="158"/>
      <c r="K225" s="158"/>
      <c r="L225" s="158"/>
      <c r="M225" s="158"/>
      <c r="N225" s="158"/>
      <c r="O225" s="158"/>
      <c r="P225" s="118"/>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row>
    <row r="226" ht="15.75" customHeight="1">
      <c r="A226" s="118"/>
      <c r="B226" s="118"/>
      <c r="C226" s="118"/>
      <c r="D226" s="158"/>
      <c r="E226" s="158"/>
      <c r="F226" s="158"/>
      <c r="G226" s="158"/>
      <c r="H226" s="158"/>
      <c r="I226" s="158"/>
      <c r="J226" s="158"/>
      <c r="K226" s="158"/>
      <c r="L226" s="158"/>
      <c r="M226" s="158"/>
      <c r="N226" s="158"/>
      <c r="O226" s="158"/>
      <c r="P226" s="118"/>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row>
    <row r="227" ht="15.75" customHeight="1">
      <c r="A227" s="118"/>
      <c r="B227" s="118"/>
      <c r="C227" s="118"/>
      <c r="D227" s="158"/>
      <c r="E227" s="158"/>
      <c r="F227" s="158"/>
      <c r="G227" s="158"/>
      <c r="H227" s="158"/>
      <c r="I227" s="158"/>
      <c r="J227" s="158"/>
      <c r="K227" s="158"/>
      <c r="L227" s="158"/>
      <c r="M227" s="158"/>
      <c r="N227" s="158"/>
      <c r="O227" s="158"/>
      <c r="P227" s="118"/>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row>
    <row r="228" ht="15.75" customHeight="1">
      <c r="A228" s="118"/>
      <c r="B228" s="118"/>
      <c r="C228" s="118"/>
      <c r="D228" s="158"/>
      <c r="E228" s="158"/>
      <c r="F228" s="158"/>
      <c r="G228" s="158"/>
      <c r="H228" s="158"/>
      <c r="I228" s="158"/>
      <c r="J228" s="158"/>
      <c r="K228" s="158"/>
      <c r="L228" s="158"/>
      <c r="M228" s="158"/>
      <c r="N228" s="158"/>
      <c r="O228" s="158"/>
      <c r="P228" s="118"/>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row>
    <row r="229" ht="15.75" customHeight="1">
      <c r="A229" s="118"/>
      <c r="B229" s="118"/>
      <c r="C229" s="118"/>
      <c r="D229" s="158"/>
      <c r="E229" s="158"/>
      <c r="F229" s="158"/>
      <c r="G229" s="158"/>
      <c r="H229" s="158"/>
      <c r="I229" s="158"/>
      <c r="J229" s="158"/>
      <c r="K229" s="158"/>
      <c r="L229" s="158"/>
      <c r="M229" s="158"/>
      <c r="N229" s="158"/>
      <c r="O229" s="158"/>
      <c r="P229" s="118"/>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row>
    <row r="230" ht="15.75" customHeight="1">
      <c r="A230" s="118"/>
      <c r="B230" s="118"/>
      <c r="C230" s="118"/>
      <c r="D230" s="158"/>
      <c r="E230" s="158"/>
      <c r="F230" s="158"/>
      <c r="G230" s="158"/>
      <c r="H230" s="158"/>
      <c r="I230" s="158"/>
      <c r="J230" s="158"/>
      <c r="K230" s="158"/>
      <c r="L230" s="158"/>
      <c r="M230" s="158"/>
      <c r="N230" s="158"/>
      <c r="O230" s="158"/>
      <c r="P230" s="118"/>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row>
    <row r="231" ht="15.75" customHeight="1">
      <c r="A231" s="118"/>
      <c r="B231" s="118"/>
      <c r="C231" s="118"/>
      <c r="D231" s="158"/>
      <c r="E231" s="158"/>
      <c r="F231" s="158"/>
      <c r="G231" s="158"/>
      <c r="H231" s="158"/>
      <c r="I231" s="158"/>
      <c r="J231" s="158"/>
      <c r="K231" s="158"/>
      <c r="L231" s="158"/>
      <c r="M231" s="158"/>
      <c r="N231" s="158"/>
      <c r="O231" s="158"/>
      <c r="P231" s="118"/>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row>
    <row r="232" ht="15.75" customHeight="1">
      <c r="A232" s="118"/>
      <c r="B232" s="118"/>
      <c r="C232" s="118"/>
      <c r="D232" s="158"/>
      <c r="E232" s="158"/>
      <c r="F232" s="158"/>
      <c r="G232" s="158"/>
      <c r="H232" s="158"/>
      <c r="I232" s="158"/>
      <c r="J232" s="158"/>
      <c r="K232" s="158"/>
      <c r="L232" s="158"/>
      <c r="M232" s="158"/>
      <c r="N232" s="158"/>
      <c r="O232" s="158"/>
      <c r="P232" s="118"/>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row>
    <row r="233" ht="15.75" customHeight="1">
      <c r="A233" s="118"/>
      <c r="B233" s="118"/>
      <c r="C233" s="118"/>
      <c r="D233" s="158"/>
      <c r="E233" s="158"/>
      <c r="F233" s="158"/>
      <c r="G233" s="158"/>
      <c r="H233" s="158"/>
      <c r="I233" s="158"/>
      <c r="J233" s="158"/>
      <c r="K233" s="158"/>
      <c r="L233" s="158"/>
      <c r="M233" s="158"/>
      <c r="N233" s="158"/>
      <c r="O233" s="158"/>
      <c r="P233" s="118"/>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row>
    <row r="234" ht="15.75" customHeight="1">
      <c r="A234" s="118"/>
      <c r="B234" s="118"/>
      <c r="C234" s="118"/>
      <c r="D234" s="158"/>
      <c r="E234" s="158"/>
      <c r="F234" s="158"/>
      <c r="G234" s="158"/>
      <c r="H234" s="158"/>
      <c r="I234" s="158"/>
      <c r="J234" s="158"/>
      <c r="K234" s="158"/>
      <c r="L234" s="158"/>
      <c r="M234" s="158"/>
      <c r="N234" s="158"/>
      <c r="O234" s="158"/>
      <c r="P234" s="118"/>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row>
    <row r="235" ht="15.75" customHeight="1">
      <c r="A235" s="118"/>
      <c r="B235" s="118"/>
      <c r="C235" s="118"/>
      <c r="D235" s="158"/>
      <c r="E235" s="158"/>
      <c r="F235" s="158"/>
      <c r="G235" s="158"/>
      <c r="H235" s="158"/>
      <c r="I235" s="158"/>
      <c r="J235" s="158"/>
      <c r="K235" s="158"/>
      <c r="L235" s="158"/>
      <c r="M235" s="158"/>
      <c r="N235" s="158"/>
      <c r="O235" s="158"/>
      <c r="P235" s="118"/>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row>
    <row r="236" ht="15.75" customHeight="1">
      <c r="A236" s="118"/>
      <c r="B236" s="118"/>
      <c r="C236" s="118"/>
      <c r="D236" s="158"/>
      <c r="E236" s="158"/>
      <c r="F236" s="158"/>
      <c r="G236" s="158"/>
      <c r="H236" s="158"/>
      <c r="I236" s="158"/>
      <c r="J236" s="158"/>
      <c r="K236" s="158"/>
      <c r="L236" s="158"/>
      <c r="M236" s="158"/>
      <c r="N236" s="158"/>
      <c r="O236" s="158"/>
      <c r="P236" s="118"/>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row>
    <row r="237" ht="15.75" customHeight="1">
      <c r="A237" s="118"/>
      <c r="B237" s="118"/>
      <c r="C237" s="118"/>
      <c r="D237" s="158"/>
      <c r="E237" s="158"/>
      <c r="F237" s="158"/>
      <c r="G237" s="158"/>
      <c r="H237" s="158"/>
      <c r="I237" s="158"/>
      <c r="J237" s="158"/>
      <c r="K237" s="158"/>
      <c r="L237" s="158"/>
      <c r="M237" s="158"/>
      <c r="N237" s="158"/>
      <c r="O237" s="158"/>
      <c r="P237" s="118"/>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row>
    <row r="238" ht="15.75" customHeight="1">
      <c r="A238" s="118"/>
      <c r="B238" s="118"/>
      <c r="C238" s="118"/>
      <c r="D238" s="158"/>
      <c r="E238" s="158"/>
      <c r="F238" s="158"/>
      <c r="G238" s="158"/>
      <c r="H238" s="158"/>
      <c r="I238" s="158"/>
      <c r="J238" s="158"/>
      <c r="K238" s="158"/>
      <c r="L238" s="158"/>
      <c r="M238" s="158"/>
      <c r="N238" s="158"/>
      <c r="O238" s="158"/>
      <c r="P238" s="118"/>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row>
    <row r="239" ht="15.75" customHeight="1">
      <c r="A239" s="118"/>
      <c r="B239" s="118"/>
      <c r="C239" s="118"/>
      <c r="D239" s="158"/>
      <c r="E239" s="158"/>
      <c r="F239" s="158"/>
      <c r="G239" s="158"/>
      <c r="H239" s="158"/>
      <c r="I239" s="158"/>
      <c r="J239" s="158"/>
      <c r="K239" s="158"/>
      <c r="L239" s="158"/>
      <c r="M239" s="158"/>
      <c r="N239" s="158"/>
      <c r="O239" s="158"/>
      <c r="P239" s="118"/>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row>
    <row r="240" ht="15.75" customHeight="1">
      <c r="A240" s="118"/>
      <c r="B240" s="118"/>
      <c r="C240" s="118"/>
      <c r="D240" s="158"/>
      <c r="E240" s="158"/>
      <c r="F240" s="158"/>
      <c r="G240" s="158"/>
      <c r="H240" s="158"/>
      <c r="I240" s="158"/>
      <c r="J240" s="158"/>
      <c r="K240" s="158"/>
      <c r="L240" s="158"/>
      <c r="M240" s="158"/>
      <c r="N240" s="158"/>
      <c r="O240" s="158"/>
      <c r="P240" s="118"/>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row>
    <row r="241" ht="15.75" customHeight="1">
      <c r="A241" s="118"/>
      <c r="B241" s="118"/>
      <c r="C241" s="118"/>
      <c r="D241" s="158"/>
      <c r="E241" s="158"/>
      <c r="F241" s="158"/>
      <c r="G241" s="158"/>
      <c r="H241" s="158"/>
      <c r="I241" s="158"/>
      <c r="J241" s="158"/>
      <c r="K241" s="158"/>
      <c r="L241" s="158"/>
      <c r="M241" s="158"/>
      <c r="N241" s="158"/>
      <c r="O241" s="158"/>
      <c r="P241" s="118"/>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row>
    <row r="242" ht="15.75" customHeight="1">
      <c r="A242" s="118"/>
      <c r="B242" s="118"/>
      <c r="C242" s="118"/>
      <c r="D242" s="158"/>
      <c r="E242" s="158"/>
      <c r="F242" s="158"/>
      <c r="G242" s="158"/>
      <c r="H242" s="158"/>
      <c r="I242" s="158"/>
      <c r="J242" s="158"/>
      <c r="K242" s="158"/>
      <c r="L242" s="158"/>
      <c r="M242" s="158"/>
      <c r="N242" s="158"/>
      <c r="O242" s="158"/>
      <c r="P242" s="118"/>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row>
    <row r="243" ht="15.75" customHeight="1">
      <c r="A243" s="118"/>
      <c r="B243" s="118"/>
      <c r="C243" s="118"/>
      <c r="D243" s="158"/>
      <c r="E243" s="158"/>
      <c r="F243" s="158"/>
      <c r="G243" s="158"/>
      <c r="H243" s="158"/>
      <c r="I243" s="158"/>
      <c r="J243" s="158"/>
      <c r="K243" s="158"/>
      <c r="L243" s="158"/>
      <c r="M243" s="158"/>
      <c r="N243" s="158"/>
      <c r="O243" s="158"/>
      <c r="P243" s="118"/>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row>
    <row r="244" ht="15.75" customHeight="1">
      <c r="A244" s="118"/>
      <c r="B244" s="118"/>
      <c r="C244" s="118"/>
      <c r="D244" s="158"/>
      <c r="E244" s="158"/>
      <c r="F244" s="158"/>
      <c r="G244" s="158"/>
      <c r="H244" s="158"/>
      <c r="I244" s="158"/>
      <c r="J244" s="158"/>
      <c r="K244" s="158"/>
      <c r="L244" s="158"/>
      <c r="M244" s="158"/>
      <c r="N244" s="158"/>
      <c r="O244" s="158"/>
      <c r="P244" s="118"/>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row>
    <row r="245" ht="15.75" customHeight="1">
      <c r="A245" s="118"/>
      <c r="B245" s="118"/>
      <c r="C245" s="118"/>
      <c r="D245" s="158"/>
      <c r="E245" s="158"/>
      <c r="F245" s="158"/>
      <c r="G245" s="158"/>
      <c r="H245" s="158"/>
      <c r="I245" s="158"/>
      <c r="J245" s="158"/>
      <c r="K245" s="158"/>
      <c r="L245" s="158"/>
      <c r="M245" s="158"/>
      <c r="N245" s="158"/>
      <c r="O245" s="158"/>
      <c r="P245" s="118"/>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row>
    <row r="246" ht="15.75" customHeight="1">
      <c r="A246" s="118"/>
      <c r="B246" s="118"/>
      <c r="C246" s="118"/>
      <c r="D246" s="158"/>
      <c r="E246" s="158"/>
      <c r="F246" s="158"/>
      <c r="G246" s="158"/>
      <c r="H246" s="158"/>
      <c r="I246" s="158"/>
      <c r="J246" s="158"/>
      <c r="K246" s="158"/>
      <c r="L246" s="158"/>
      <c r="M246" s="158"/>
      <c r="N246" s="158"/>
      <c r="O246" s="158"/>
      <c r="P246" s="118"/>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row>
    <row r="247" ht="15.75" customHeight="1">
      <c r="A247" s="118"/>
      <c r="B247" s="118"/>
      <c r="C247" s="118"/>
      <c r="D247" s="158"/>
      <c r="E247" s="158"/>
      <c r="F247" s="158"/>
      <c r="G247" s="158"/>
      <c r="H247" s="158"/>
      <c r="I247" s="158"/>
      <c r="J247" s="158"/>
      <c r="K247" s="158"/>
      <c r="L247" s="158"/>
      <c r="M247" s="158"/>
      <c r="N247" s="158"/>
      <c r="O247" s="158"/>
      <c r="P247" s="118"/>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row>
    <row r="248" ht="15.75" customHeight="1">
      <c r="A248" s="118"/>
      <c r="B248" s="118"/>
      <c r="C248" s="118"/>
      <c r="D248" s="158"/>
      <c r="E248" s="158"/>
      <c r="F248" s="158"/>
      <c r="G248" s="158"/>
      <c r="H248" s="158"/>
      <c r="I248" s="158"/>
      <c r="J248" s="158"/>
      <c r="K248" s="158"/>
      <c r="L248" s="158"/>
      <c r="M248" s="158"/>
      <c r="N248" s="158"/>
      <c r="O248" s="158"/>
      <c r="P248" s="118"/>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row>
    <row r="249" ht="15.75" customHeight="1">
      <c r="A249" s="118"/>
      <c r="B249" s="118"/>
      <c r="C249" s="118"/>
      <c r="D249" s="158"/>
      <c r="E249" s="158"/>
      <c r="F249" s="158"/>
      <c r="G249" s="158"/>
      <c r="H249" s="158"/>
      <c r="I249" s="158"/>
      <c r="J249" s="158"/>
      <c r="K249" s="158"/>
      <c r="L249" s="158"/>
      <c r="M249" s="158"/>
      <c r="N249" s="158"/>
      <c r="O249" s="158"/>
      <c r="P249" s="118"/>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row>
    <row r="250" ht="15.75" customHeight="1">
      <c r="A250" s="118"/>
      <c r="B250" s="118"/>
      <c r="C250" s="118"/>
      <c r="D250" s="158"/>
      <c r="E250" s="158"/>
      <c r="F250" s="158"/>
      <c r="G250" s="158"/>
      <c r="H250" s="158"/>
      <c r="I250" s="158"/>
      <c r="J250" s="158"/>
      <c r="K250" s="158"/>
      <c r="L250" s="158"/>
      <c r="M250" s="158"/>
      <c r="N250" s="158"/>
      <c r="O250" s="158"/>
      <c r="P250" s="118"/>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row>
    <row r="251" ht="15.75" customHeight="1">
      <c r="A251" s="118"/>
      <c r="B251" s="118"/>
      <c r="C251" s="118"/>
      <c r="D251" s="158"/>
      <c r="E251" s="158"/>
      <c r="F251" s="158"/>
      <c r="G251" s="158"/>
      <c r="H251" s="158"/>
      <c r="I251" s="158"/>
      <c r="J251" s="158"/>
      <c r="K251" s="158"/>
      <c r="L251" s="158"/>
      <c r="M251" s="158"/>
      <c r="N251" s="158"/>
      <c r="O251" s="158"/>
      <c r="P251" s="118"/>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row>
    <row r="252" ht="15.75" customHeight="1">
      <c r="A252" s="118"/>
      <c r="B252" s="118"/>
      <c r="C252" s="118"/>
      <c r="D252" s="158"/>
      <c r="E252" s="158"/>
      <c r="F252" s="158"/>
      <c r="G252" s="158"/>
      <c r="H252" s="158"/>
      <c r="I252" s="158"/>
      <c r="J252" s="158"/>
      <c r="K252" s="158"/>
      <c r="L252" s="158"/>
      <c r="M252" s="158"/>
      <c r="N252" s="158"/>
      <c r="O252" s="158"/>
      <c r="P252" s="118"/>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row>
    <row r="253" ht="15.75" customHeight="1">
      <c r="A253" s="118"/>
      <c r="B253" s="118"/>
      <c r="C253" s="118"/>
      <c r="D253" s="158"/>
      <c r="E253" s="158"/>
      <c r="F253" s="158"/>
      <c r="G253" s="158"/>
      <c r="H253" s="158"/>
      <c r="I253" s="158"/>
      <c r="J253" s="158"/>
      <c r="K253" s="158"/>
      <c r="L253" s="158"/>
      <c r="M253" s="158"/>
      <c r="N253" s="158"/>
      <c r="O253" s="158"/>
      <c r="P253" s="118"/>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row>
    <row r="254" ht="15.75" customHeight="1">
      <c r="A254" s="118"/>
      <c r="B254" s="118"/>
      <c r="C254" s="118"/>
      <c r="D254" s="158"/>
      <c r="E254" s="158"/>
      <c r="F254" s="158"/>
      <c r="G254" s="158"/>
      <c r="H254" s="158"/>
      <c r="I254" s="158"/>
      <c r="J254" s="158"/>
      <c r="K254" s="158"/>
      <c r="L254" s="158"/>
      <c r="M254" s="158"/>
      <c r="N254" s="158"/>
      <c r="O254" s="158"/>
      <c r="P254" s="118"/>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row>
    <row r="255" ht="15.75" customHeight="1">
      <c r="A255" s="118"/>
      <c r="B255" s="118"/>
      <c r="C255" s="118"/>
      <c r="D255" s="158"/>
      <c r="E255" s="158"/>
      <c r="F255" s="158"/>
      <c r="G255" s="158"/>
      <c r="H255" s="158"/>
      <c r="I255" s="158"/>
      <c r="J255" s="158"/>
      <c r="K255" s="158"/>
      <c r="L255" s="158"/>
      <c r="M255" s="158"/>
      <c r="N255" s="158"/>
      <c r="O255" s="158"/>
      <c r="P255" s="118"/>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row>
    <row r="256" ht="15.75" customHeight="1">
      <c r="A256" s="118"/>
      <c r="B256" s="118"/>
      <c r="C256" s="118"/>
      <c r="D256" s="158"/>
      <c r="E256" s="158"/>
      <c r="F256" s="158"/>
      <c r="G256" s="158"/>
      <c r="H256" s="158"/>
      <c r="I256" s="158"/>
      <c r="J256" s="158"/>
      <c r="K256" s="158"/>
      <c r="L256" s="158"/>
      <c r="M256" s="158"/>
      <c r="N256" s="158"/>
      <c r="O256" s="158"/>
      <c r="P256" s="118"/>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row>
    <row r="257" ht="15.75" customHeight="1">
      <c r="A257" s="118"/>
      <c r="B257" s="118"/>
      <c r="C257" s="118"/>
      <c r="D257" s="158"/>
      <c r="E257" s="158"/>
      <c r="F257" s="158"/>
      <c r="G257" s="158"/>
      <c r="H257" s="158"/>
      <c r="I257" s="158"/>
      <c r="J257" s="158"/>
      <c r="K257" s="158"/>
      <c r="L257" s="158"/>
      <c r="M257" s="158"/>
      <c r="N257" s="158"/>
      <c r="O257" s="158"/>
      <c r="P257" s="118"/>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row>
    <row r="258" ht="15.75" customHeight="1">
      <c r="A258" s="118"/>
      <c r="B258" s="118"/>
      <c r="C258" s="118"/>
      <c r="D258" s="158"/>
      <c r="E258" s="158"/>
      <c r="F258" s="158"/>
      <c r="G258" s="158"/>
      <c r="H258" s="158"/>
      <c r="I258" s="158"/>
      <c r="J258" s="158"/>
      <c r="K258" s="158"/>
      <c r="L258" s="158"/>
      <c r="M258" s="158"/>
      <c r="N258" s="158"/>
      <c r="O258" s="158"/>
      <c r="P258" s="118"/>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row>
    <row r="259" ht="15.75" customHeight="1">
      <c r="A259" s="118"/>
      <c r="B259" s="118"/>
      <c r="C259" s="118"/>
      <c r="D259" s="158"/>
      <c r="E259" s="158"/>
      <c r="F259" s="158"/>
      <c r="G259" s="158"/>
      <c r="H259" s="158"/>
      <c r="I259" s="158"/>
      <c r="J259" s="158"/>
      <c r="K259" s="158"/>
      <c r="L259" s="158"/>
      <c r="M259" s="158"/>
      <c r="N259" s="158"/>
      <c r="O259" s="158"/>
      <c r="P259" s="118"/>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row>
    <row r="260" ht="15.75" customHeight="1">
      <c r="A260" s="118"/>
      <c r="B260" s="118"/>
      <c r="C260" s="118"/>
      <c r="D260" s="158"/>
      <c r="E260" s="158"/>
      <c r="F260" s="158"/>
      <c r="G260" s="158"/>
      <c r="H260" s="158"/>
      <c r="I260" s="158"/>
      <c r="J260" s="158"/>
      <c r="K260" s="158"/>
      <c r="L260" s="158"/>
      <c r="M260" s="158"/>
      <c r="N260" s="158"/>
      <c r="O260" s="158"/>
      <c r="P260" s="118"/>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row>
    <row r="261" ht="15.75" customHeight="1">
      <c r="A261" s="118"/>
      <c r="B261" s="118"/>
      <c r="C261" s="118"/>
      <c r="D261" s="158"/>
      <c r="E261" s="158"/>
      <c r="F261" s="158"/>
      <c r="G261" s="158"/>
      <c r="H261" s="158"/>
      <c r="I261" s="158"/>
      <c r="J261" s="158"/>
      <c r="K261" s="158"/>
      <c r="L261" s="158"/>
      <c r="M261" s="158"/>
      <c r="N261" s="158"/>
      <c r="O261" s="158"/>
      <c r="P261" s="118"/>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row>
    <row r="262" ht="15.75" customHeight="1">
      <c r="A262" s="118"/>
      <c r="B262" s="118"/>
      <c r="C262" s="118"/>
      <c r="D262" s="158"/>
      <c r="E262" s="158"/>
      <c r="F262" s="158"/>
      <c r="G262" s="158"/>
      <c r="H262" s="158"/>
      <c r="I262" s="158"/>
      <c r="J262" s="158"/>
      <c r="K262" s="158"/>
      <c r="L262" s="158"/>
      <c r="M262" s="158"/>
      <c r="N262" s="158"/>
      <c r="O262" s="158"/>
      <c r="P262" s="118"/>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row>
    <row r="263" ht="15.75" customHeight="1">
      <c r="A263" s="118"/>
      <c r="B263" s="118"/>
      <c r="C263" s="118"/>
      <c r="D263" s="158"/>
      <c r="E263" s="158"/>
      <c r="F263" s="158"/>
      <c r="G263" s="158"/>
      <c r="H263" s="158"/>
      <c r="I263" s="158"/>
      <c r="J263" s="158"/>
      <c r="K263" s="158"/>
      <c r="L263" s="158"/>
      <c r="M263" s="158"/>
      <c r="N263" s="158"/>
      <c r="O263" s="158"/>
      <c r="P263" s="118"/>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row>
    <row r="264" ht="15.75" customHeight="1">
      <c r="A264" s="118"/>
      <c r="B264" s="118"/>
      <c r="C264" s="118"/>
      <c r="D264" s="158"/>
      <c r="E264" s="158"/>
      <c r="F264" s="158"/>
      <c r="G264" s="158"/>
      <c r="H264" s="158"/>
      <c r="I264" s="158"/>
      <c r="J264" s="158"/>
      <c r="K264" s="158"/>
      <c r="L264" s="158"/>
      <c r="M264" s="158"/>
      <c r="N264" s="158"/>
      <c r="O264" s="158"/>
      <c r="P264" s="118"/>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row>
    <row r="265" ht="15.75" customHeight="1">
      <c r="A265" s="118"/>
      <c r="B265" s="118"/>
      <c r="C265" s="118"/>
      <c r="D265" s="158"/>
      <c r="E265" s="158"/>
      <c r="F265" s="158"/>
      <c r="G265" s="158"/>
      <c r="H265" s="158"/>
      <c r="I265" s="158"/>
      <c r="J265" s="158"/>
      <c r="K265" s="158"/>
      <c r="L265" s="158"/>
      <c r="M265" s="158"/>
      <c r="N265" s="158"/>
      <c r="O265" s="158"/>
      <c r="P265" s="118"/>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row>
    <row r="266" ht="15.75" customHeight="1">
      <c r="A266" s="118"/>
      <c r="B266" s="118"/>
      <c r="C266" s="118"/>
      <c r="D266" s="158"/>
      <c r="E266" s="158"/>
      <c r="F266" s="158"/>
      <c r="G266" s="158"/>
      <c r="H266" s="158"/>
      <c r="I266" s="158"/>
      <c r="J266" s="158"/>
      <c r="K266" s="158"/>
      <c r="L266" s="158"/>
      <c r="M266" s="158"/>
      <c r="N266" s="158"/>
      <c r="O266" s="158"/>
      <c r="P266" s="118"/>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row>
    <row r="267" ht="15.75" customHeight="1">
      <c r="A267" s="118"/>
      <c r="B267" s="118"/>
      <c r="C267" s="118"/>
      <c r="D267" s="158"/>
      <c r="E267" s="158"/>
      <c r="F267" s="158"/>
      <c r="G267" s="158"/>
      <c r="H267" s="158"/>
      <c r="I267" s="158"/>
      <c r="J267" s="158"/>
      <c r="K267" s="158"/>
      <c r="L267" s="158"/>
      <c r="M267" s="158"/>
      <c r="N267" s="158"/>
      <c r="O267" s="158"/>
      <c r="P267" s="118"/>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row>
    <row r="268" ht="15.75" customHeight="1">
      <c r="A268" s="118"/>
      <c r="B268" s="118"/>
      <c r="C268" s="118"/>
      <c r="D268" s="158"/>
      <c r="E268" s="158"/>
      <c r="F268" s="158"/>
      <c r="G268" s="158"/>
      <c r="H268" s="158"/>
      <c r="I268" s="158"/>
      <c r="J268" s="158"/>
      <c r="K268" s="158"/>
      <c r="L268" s="158"/>
      <c r="M268" s="158"/>
      <c r="N268" s="158"/>
      <c r="O268" s="158"/>
      <c r="P268" s="118"/>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row>
    <row r="269" ht="15.75" customHeight="1">
      <c r="A269" s="118"/>
      <c r="B269" s="118"/>
      <c r="C269" s="118"/>
      <c r="D269" s="158"/>
      <c r="E269" s="158"/>
      <c r="F269" s="158"/>
      <c r="G269" s="158"/>
      <c r="H269" s="158"/>
      <c r="I269" s="158"/>
      <c r="J269" s="158"/>
      <c r="K269" s="158"/>
      <c r="L269" s="158"/>
      <c r="M269" s="158"/>
      <c r="N269" s="158"/>
      <c r="O269" s="158"/>
      <c r="P269" s="118"/>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row>
    <row r="270" ht="15.75" customHeight="1">
      <c r="A270" s="118"/>
      <c r="B270" s="118"/>
      <c r="C270" s="118"/>
      <c r="D270" s="158"/>
      <c r="E270" s="158"/>
      <c r="F270" s="158"/>
      <c r="G270" s="158"/>
      <c r="H270" s="158"/>
      <c r="I270" s="158"/>
      <c r="J270" s="158"/>
      <c r="K270" s="158"/>
      <c r="L270" s="158"/>
      <c r="M270" s="158"/>
      <c r="N270" s="158"/>
      <c r="O270" s="158"/>
      <c r="P270" s="118"/>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row>
    <row r="271" ht="15.75" customHeight="1">
      <c r="A271" s="118"/>
      <c r="B271" s="118"/>
      <c r="C271" s="118"/>
      <c r="D271" s="158"/>
      <c r="E271" s="158"/>
      <c r="F271" s="158"/>
      <c r="G271" s="158"/>
      <c r="H271" s="158"/>
      <c r="I271" s="158"/>
      <c r="J271" s="158"/>
      <c r="K271" s="158"/>
      <c r="L271" s="158"/>
      <c r="M271" s="158"/>
      <c r="N271" s="158"/>
      <c r="O271" s="158"/>
      <c r="P271" s="118"/>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row>
    <row r="272" ht="15.75" customHeight="1">
      <c r="A272" s="118"/>
      <c r="B272" s="118"/>
      <c r="C272" s="118"/>
      <c r="D272" s="158"/>
      <c r="E272" s="158"/>
      <c r="F272" s="158"/>
      <c r="G272" s="158"/>
      <c r="H272" s="158"/>
      <c r="I272" s="158"/>
      <c r="J272" s="158"/>
      <c r="K272" s="158"/>
      <c r="L272" s="158"/>
      <c r="M272" s="158"/>
      <c r="N272" s="158"/>
      <c r="O272" s="158"/>
      <c r="P272" s="118"/>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row>
    <row r="273" ht="15.75" customHeight="1">
      <c r="A273" s="118"/>
      <c r="B273" s="118"/>
      <c r="C273" s="118"/>
      <c r="D273" s="158"/>
      <c r="E273" s="158"/>
      <c r="F273" s="158"/>
      <c r="G273" s="158"/>
      <c r="H273" s="158"/>
      <c r="I273" s="158"/>
      <c r="J273" s="158"/>
      <c r="K273" s="158"/>
      <c r="L273" s="158"/>
      <c r="M273" s="158"/>
      <c r="N273" s="158"/>
      <c r="O273" s="158"/>
      <c r="P273" s="118"/>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row>
    <row r="274" ht="15.75" customHeight="1">
      <c r="A274" s="118"/>
      <c r="B274" s="118"/>
      <c r="C274" s="118"/>
      <c r="D274" s="158"/>
      <c r="E274" s="158"/>
      <c r="F274" s="158"/>
      <c r="G274" s="158"/>
      <c r="H274" s="158"/>
      <c r="I274" s="158"/>
      <c r="J274" s="158"/>
      <c r="K274" s="158"/>
      <c r="L274" s="158"/>
      <c r="M274" s="158"/>
      <c r="N274" s="158"/>
      <c r="O274" s="158"/>
      <c r="P274" s="118"/>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row>
    <row r="275" ht="15.75" customHeight="1">
      <c r="A275" s="118"/>
      <c r="B275" s="118"/>
      <c r="C275" s="118"/>
      <c r="D275" s="158"/>
      <c r="E275" s="158"/>
      <c r="F275" s="158"/>
      <c r="G275" s="158"/>
      <c r="H275" s="158"/>
      <c r="I275" s="158"/>
      <c r="J275" s="158"/>
      <c r="K275" s="158"/>
      <c r="L275" s="158"/>
      <c r="M275" s="158"/>
      <c r="N275" s="158"/>
      <c r="O275" s="158"/>
      <c r="P275" s="118"/>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row>
    <row r="276" ht="15.75" customHeight="1">
      <c r="A276" s="118"/>
      <c r="B276" s="118"/>
      <c r="C276" s="118"/>
      <c r="D276" s="158"/>
      <c r="E276" s="158"/>
      <c r="F276" s="158"/>
      <c r="G276" s="158"/>
      <c r="H276" s="158"/>
      <c r="I276" s="158"/>
      <c r="J276" s="158"/>
      <c r="K276" s="158"/>
      <c r="L276" s="158"/>
      <c r="M276" s="158"/>
      <c r="N276" s="158"/>
      <c r="O276" s="158"/>
      <c r="P276" s="118"/>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row>
    <row r="277" ht="15.75" customHeight="1">
      <c r="A277" s="118"/>
      <c r="B277" s="118"/>
      <c r="C277" s="118"/>
      <c r="D277" s="158"/>
      <c r="E277" s="158"/>
      <c r="F277" s="158"/>
      <c r="G277" s="158"/>
      <c r="H277" s="158"/>
      <c r="I277" s="158"/>
      <c r="J277" s="158"/>
      <c r="K277" s="158"/>
      <c r="L277" s="158"/>
      <c r="M277" s="158"/>
      <c r="N277" s="158"/>
      <c r="O277" s="158"/>
      <c r="P277" s="118"/>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row>
    <row r="278" ht="15.75" customHeight="1">
      <c r="A278" s="118"/>
      <c r="B278" s="118"/>
      <c r="C278" s="118"/>
      <c r="D278" s="158"/>
      <c r="E278" s="158"/>
      <c r="F278" s="158"/>
      <c r="G278" s="158"/>
      <c r="H278" s="158"/>
      <c r="I278" s="158"/>
      <c r="J278" s="158"/>
      <c r="K278" s="158"/>
      <c r="L278" s="158"/>
      <c r="M278" s="158"/>
      <c r="N278" s="158"/>
      <c r="O278" s="158"/>
      <c r="P278" s="118"/>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row>
    <row r="279" ht="15.75" customHeight="1">
      <c r="A279" s="118"/>
      <c r="B279" s="118"/>
      <c r="C279" s="118"/>
      <c r="D279" s="158"/>
      <c r="E279" s="158"/>
      <c r="F279" s="158"/>
      <c r="G279" s="158"/>
      <c r="H279" s="158"/>
      <c r="I279" s="158"/>
      <c r="J279" s="158"/>
      <c r="K279" s="158"/>
      <c r="L279" s="158"/>
      <c r="M279" s="158"/>
      <c r="N279" s="158"/>
      <c r="O279" s="158"/>
      <c r="P279" s="118"/>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row>
    <row r="280" ht="15.75" customHeight="1">
      <c r="A280" s="118"/>
      <c r="B280" s="118"/>
      <c r="C280" s="118"/>
      <c r="D280" s="158"/>
      <c r="E280" s="158"/>
      <c r="F280" s="158"/>
      <c r="G280" s="158"/>
      <c r="H280" s="158"/>
      <c r="I280" s="158"/>
      <c r="J280" s="158"/>
      <c r="K280" s="158"/>
      <c r="L280" s="158"/>
      <c r="M280" s="158"/>
      <c r="N280" s="158"/>
      <c r="O280" s="158"/>
      <c r="P280" s="118"/>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row>
    <row r="281" ht="15.75" customHeight="1">
      <c r="A281" s="118"/>
      <c r="B281" s="118"/>
      <c r="C281" s="118"/>
      <c r="D281" s="158"/>
      <c r="E281" s="158"/>
      <c r="F281" s="158"/>
      <c r="G281" s="158"/>
      <c r="H281" s="158"/>
      <c r="I281" s="158"/>
      <c r="J281" s="158"/>
      <c r="K281" s="158"/>
      <c r="L281" s="158"/>
      <c r="M281" s="158"/>
      <c r="N281" s="158"/>
      <c r="O281" s="158"/>
      <c r="P281" s="118"/>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row>
    <row r="282" ht="15.75" customHeight="1">
      <c r="A282" s="118"/>
      <c r="B282" s="118"/>
      <c r="C282" s="118"/>
      <c r="D282" s="158"/>
      <c r="E282" s="158"/>
      <c r="F282" s="158"/>
      <c r="G282" s="158"/>
      <c r="H282" s="158"/>
      <c r="I282" s="158"/>
      <c r="J282" s="158"/>
      <c r="K282" s="158"/>
      <c r="L282" s="158"/>
      <c r="M282" s="158"/>
      <c r="N282" s="158"/>
      <c r="O282" s="158"/>
      <c r="P282" s="118"/>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row>
    <row r="283" ht="15.75" customHeight="1">
      <c r="A283" s="118"/>
      <c r="B283" s="118"/>
      <c r="C283" s="118"/>
      <c r="D283" s="158"/>
      <c r="E283" s="158"/>
      <c r="F283" s="158"/>
      <c r="G283" s="158"/>
      <c r="H283" s="158"/>
      <c r="I283" s="158"/>
      <c r="J283" s="158"/>
      <c r="K283" s="158"/>
      <c r="L283" s="158"/>
      <c r="M283" s="158"/>
      <c r="N283" s="158"/>
      <c r="O283" s="158"/>
      <c r="P283" s="118"/>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row>
    <row r="284" ht="15.75" customHeight="1">
      <c r="A284" s="118"/>
      <c r="B284" s="118"/>
      <c r="C284" s="118"/>
      <c r="D284" s="158"/>
      <c r="E284" s="158"/>
      <c r="F284" s="158"/>
      <c r="G284" s="158"/>
      <c r="H284" s="158"/>
      <c r="I284" s="158"/>
      <c r="J284" s="158"/>
      <c r="K284" s="158"/>
      <c r="L284" s="158"/>
      <c r="M284" s="158"/>
      <c r="N284" s="158"/>
      <c r="O284" s="158"/>
      <c r="P284" s="118"/>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row>
    <row r="285" ht="15.75" customHeight="1">
      <c r="A285" s="118"/>
      <c r="B285" s="118"/>
      <c r="C285" s="118"/>
      <c r="D285" s="158"/>
      <c r="E285" s="158"/>
      <c r="F285" s="158"/>
      <c r="G285" s="158"/>
      <c r="H285" s="158"/>
      <c r="I285" s="158"/>
      <c r="J285" s="158"/>
      <c r="K285" s="158"/>
      <c r="L285" s="158"/>
      <c r="M285" s="158"/>
      <c r="N285" s="158"/>
      <c r="O285" s="158"/>
      <c r="P285" s="118"/>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row>
    <row r="286" ht="15.75" customHeight="1">
      <c r="A286" s="118"/>
      <c r="B286" s="118"/>
      <c r="C286" s="118"/>
      <c r="D286" s="158"/>
      <c r="E286" s="158"/>
      <c r="F286" s="158"/>
      <c r="G286" s="158"/>
      <c r="H286" s="158"/>
      <c r="I286" s="158"/>
      <c r="J286" s="158"/>
      <c r="K286" s="158"/>
      <c r="L286" s="158"/>
      <c r="M286" s="158"/>
      <c r="N286" s="158"/>
      <c r="O286" s="158"/>
      <c r="P286" s="118"/>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row>
    <row r="287" ht="15.75" customHeight="1">
      <c r="A287" s="118"/>
      <c r="B287" s="118"/>
      <c r="C287" s="118"/>
      <c r="D287" s="158"/>
      <c r="E287" s="158"/>
      <c r="F287" s="158"/>
      <c r="G287" s="158"/>
      <c r="H287" s="158"/>
      <c r="I287" s="158"/>
      <c r="J287" s="158"/>
      <c r="K287" s="158"/>
      <c r="L287" s="158"/>
      <c r="M287" s="158"/>
      <c r="N287" s="158"/>
      <c r="O287" s="158"/>
      <c r="P287" s="118"/>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row>
    <row r="288" ht="15.75" customHeight="1">
      <c r="A288" s="118"/>
      <c r="B288" s="118"/>
      <c r="C288" s="118"/>
      <c r="D288" s="158"/>
      <c r="E288" s="158"/>
      <c r="F288" s="158"/>
      <c r="G288" s="158"/>
      <c r="H288" s="158"/>
      <c r="I288" s="158"/>
      <c r="J288" s="158"/>
      <c r="K288" s="158"/>
      <c r="L288" s="158"/>
      <c r="M288" s="158"/>
      <c r="N288" s="158"/>
      <c r="O288" s="158"/>
      <c r="P288" s="118"/>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row>
    <row r="289" ht="15.75" customHeight="1">
      <c r="A289" s="118"/>
      <c r="B289" s="118"/>
      <c r="C289" s="118"/>
      <c r="D289" s="158"/>
      <c r="E289" s="158"/>
      <c r="F289" s="158"/>
      <c r="G289" s="158"/>
      <c r="H289" s="158"/>
      <c r="I289" s="158"/>
      <c r="J289" s="158"/>
      <c r="K289" s="158"/>
      <c r="L289" s="158"/>
      <c r="M289" s="158"/>
      <c r="N289" s="158"/>
      <c r="O289" s="158"/>
      <c r="P289" s="118"/>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row>
    <row r="290" ht="15.75" customHeight="1">
      <c r="A290" s="118"/>
      <c r="B290" s="118"/>
      <c r="C290" s="118"/>
      <c r="D290" s="158"/>
      <c r="E290" s="158"/>
      <c r="F290" s="158"/>
      <c r="G290" s="158"/>
      <c r="H290" s="158"/>
      <c r="I290" s="158"/>
      <c r="J290" s="158"/>
      <c r="K290" s="158"/>
      <c r="L290" s="158"/>
      <c r="M290" s="158"/>
      <c r="N290" s="158"/>
      <c r="O290" s="158"/>
      <c r="P290" s="118"/>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row>
    <row r="291" ht="15.75" customHeight="1">
      <c r="A291" s="118"/>
      <c r="B291" s="118"/>
      <c r="C291" s="118"/>
      <c r="D291" s="158"/>
      <c r="E291" s="158"/>
      <c r="F291" s="158"/>
      <c r="G291" s="158"/>
      <c r="H291" s="158"/>
      <c r="I291" s="158"/>
      <c r="J291" s="158"/>
      <c r="K291" s="158"/>
      <c r="L291" s="158"/>
      <c r="M291" s="158"/>
      <c r="N291" s="158"/>
      <c r="O291" s="158"/>
      <c r="P291" s="118"/>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row>
    <row r="292" ht="15.75" customHeight="1">
      <c r="A292" s="118"/>
      <c r="B292" s="118"/>
      <c r="C292" s="118"/>
      <c r="D292" s="158"/>
      <c r="E292" s="158"/>
      <c r="F292" s="158"/>
      <c r="G292" s="158"/>
      <c r="H292" s="158"/>
      <c r="I292" s="158"/>
      <c r="J292" s="158"/>
      <c r="K292" s="158"/>
      <c r="L292" s="158"/>
      <c r="M292" s="158"/>
      <c r="N292" s="158"/>
      <c r="O292" s="158"/>
      <c r="P292" s="118"/>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row>
    <row r="293" ht="15.75" customHeight="1">
      <c r="A293" s="118"/>
      <c r="B293" s="118"/>
      <c r="C293" s="118"/>
      <c r="D293" s="158"/>
      <c r="E293" s="158"/>
      <c r="F293" s="158"/>
      <c r="G293" s="158"/>
      <c r="H293" s="158"/>
      <c r="I293" s="158"/>
      <c r="J293" s="158"/>
      <c r="K293" s="158"/>
      <c r="L293" s="158"/>
      <c r="M293" s="158"/>
      <c r="N293" s="158"/>
      <c r="O293" s="158"/>
      <c r="P293" s="118"/>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row>
    <row r="294" ht="15.75" customHeight="1">
      <c r="A294" s="118"/>
      <c r="B294" s="118"/>
      <c r="C294" s="118"/>
      <c r="D294" s="158"/>
      <c r="E294" s="158"/>
      <c r="F294" s="158"/>
      <c r="G294" s="158"/>
      <c r="H294" s="158"/>
      <c r="I294" s="158"/>
      <c r="J294" s="158"/>
      <c r="K294" s="158"/>
      <c r="L294" s="158"/>
      <c r="M294" s="158"/>
      <c r="N294" s="158"/>
      <c r="O294" s="158"/>
      <c r="P294" s="118"/>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row>
    <row r="295" ht="15.75" customHeight="1">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row>
    <row r="296" ht="15.75" customHeight="1">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row>
    <row r="297" ht="15.75" customHeight="1">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59"/>
      <c r="AT297" s="159"/>
      <c r="AU297" s="159"/>
      <c r="AV297" s="159"/>
      <c r="AW297" s="159"/>
    </row>
    <row r="298" ht="15.75" customHeight="1">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row>
    <row r="299" ht="15.75" customHeight="1">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row>
    <row r="300" ht="15.75" customHeight="1">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row>
    <row r="301" ht="15.75" customHeight="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row>
    <row r="302" ht="15.75" customHeight="1">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row>
    <row r="303" ht="15.75" customHeight="1">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row>
    <row r="304" ht="15.75" customHeight="1">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row>
    <row r="305" ht="15.75" customHeight="1">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row>
    <row r="306" ht="15.75" customHeight="1">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row>
    <row r="307" ht="15.75" customHeight="1">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row>
    <row r="308" ht="15.75" customHeight="1">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row>
    <row r="309" ht="15.75" customHeight="1">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row>
    <row r="310" ht="15.75" customHeight="1">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row>
    <row r="311" ht="15.75" customHeight="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row>
    <row r="312" ht="15.75" customHeight="1">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row>
    <row r="313" ht="15.75" customHeight="1">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row>
    <row r="314" ht="15.75" customHeight="1">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row>
    <row r="315" ht="15.75" customHeight="1">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row>
    <row r="316" ht="15.75" customHeight="1">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row>
    <row r="317" ht="15.75" customHeight="1">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row>
    <row r="318" ht="15.75" customHeight="1">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row>
    <row r="319" ht="15.75" customHeight="1">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row>
    <row r="320" ht="15.75" customHeight="1">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row>
    <row r="321" ht="15.75" customHeight="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row>
    <row r="322" ht="15.75" customHeight="1">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row>
    <row r="323" ht="15.75" customHeight="1">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row>
    <row r="324" ht="15.75" customHeight="1">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row>
    <row r="325" ht="15.75" customHeight="1">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row>
    <row r="326" ht="15.75" customHeight="1">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row>
    <row r="327" ht="15.75" customHeight="1">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row>
    <row r="328" ht="15.75" customHeight="1">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row>
    <row r="329" ht="15.75" customHeight="1">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row>
    <row r="330" ht="15.75" customHeight="1">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row>
    <row r="331" ht="15.75" customHeight="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row>
    <row r="332" ht="15.75" customHeight="1">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row>
    <row r="333" ht="15.75" customHeight="1">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row>
    <row r="334" ht="15.75" customHeight="1">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row>
    <row r="335" ht="15.75" customHeight="1">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row>
    <row r="336" ht="15.75" customHeight="1">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row>
    <row r="337" ht="15.75" customHeight="1">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row>
    <row r="338" ht="15.75" customHeight="1">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row>
    <row r="339" ht="15.75" customHeight="1">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row>
    <row r="340" ht="15.75" customHeight="1">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row>
    <row r="341" ht="15.75" customHeight="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row>
    <row r="342" ht="15.75" customHeight="1">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row>
    <row r="343" ht="15.75" customHeight="1">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row>
    <row r="344" ht="15.75" customHeight="1">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row>
    <row r="345" ht="15.75" customHeight="1">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row>
    <row r="346" ht="15.75" customHeight="1">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row>
    <row r="347" ht="15.75" customHeight="1">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row>
    <row r="348" ht="15.75" customHeight="1">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row>
    <row r="349" ht="15.75" customHeight="1">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row>
    <row r="350" ht="15.75" customHeight="1">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row>
    <row r="351" ht="15.75" customHeight="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row>
    <row r="352" ht="15.75" customHeight="1">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row>
    <row r="353" ht="15.75" customHeight="1">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row>
    <row r="354" ht="15.75" customHeight="1">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row>
    <row r="355" ht="15.75" customHeight="1">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row>
    <row r="356" ht="15.75" customHeight="1">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row>
    <row r="357" ht="15.75" customHeight="1">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row>
    <row r="358" ht="15.75" customHeight="1">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row>
    <row r="359" ht="15.75" customHeight="1">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row>
    <row r="360" ht="15.75" customHeight="1">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row>
    <row r="361" ht="15.75" customHeight="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row>
    <row r="362" ht="15.75" customHeight="1">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row>
    <row r="363" ht="15.75" customHeight="1">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row>
    <row r="364" ht="15.75" customHeight="1">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row>
    <row r="365" ht="15.75" customHeight="1">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row>
    <row r="366" ht="15.75" customHeight="1">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row>
    <row r="367" ht="15.75" customHeight="1">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row>
    <row r="368" ht="15.75" customHeight="1">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row>
    <row r="369" ht="15.75" customHeight="1">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row>
    <row r="370" ht="15.75" customHeight="1">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row>
    <row r="371" ht="15.75" customHeight="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row>
    <row r="372" ht="15.75" customHeight="1">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row>
    <row r="373" ht="15.75" customHeight="1">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row>
    <row r="374" ht="15.75" customHeight="1">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row>
    <row r="375" ht="15.75" customHeight="1">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row>
    <row r="376" ht="15.75" customHeight="1">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row>
    <row r="377" ht="15.75" customHeight="1">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row>
    <row r="378" ht="15.75" customHeight="1">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row>
    <row r="379" ht="15.75" customHeight="1">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row>
    <row r="380" ht="15.75" customHeight="1">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row>
    <row r="381" ht="15.75" customHeight="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row>
    <row r="382" ht="15.75" customHeight="1">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row>
    <row r="383" ht="15.75" customHeight="1">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row>
    <row r="384" ht="15.75" customHeight="1">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row>
    <row r="385" ht="15.75" customHeight="1">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row>
    <row r="386" ht="15.75" customHeight="1">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row>
    <row r="387" ht="15.75" customHeight="1">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row>
    <row r="388" ht="15.75" customHeight="1">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row>
    <row r="389" ht="15.75" customHeight="1">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row>
    <row r="390" ht="15.75" customHeight="1">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row>
    <row r="391" ht="15.75" customHeight="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row>
    <row r="392" ht="15.75" customHeight="1">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row>
    <row r="393" ht="15.75" customHeight="1">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row>
    <row r="394" ht="15.75" customHeight="1">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row>
    <row r="395" ht="15.75" customHeight="1">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row>
    <row r="396" ht="15.75" customHeight="1">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row>
    <row r="397" ht="15.75" customHeight="1">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row>
    <row r="398" ht="15.75" customHeight="1">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row>
    <row r="399" ht="15.75" customHeight="1">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row>
    <row r="400" ht="15.75" customHeight="1">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row>
    <row r="401" ht="15.75" customHeight="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row>
    <row r="402" ht="15.75" customHeight="1">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row>
    <row r="403" ht="15.75" customHeight="1">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row>
    <row r="404" ht="15.75" customHeight="1">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row>
    <row r="405" ht="15.75" customHeight="1">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row>
    <row r="406" ht="15.75" customHeight="1">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row>
    <row r="407" ht="15.75" customHeight="1">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row>
    <row r="408" ht="15.75" customHeight="1">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row>
    <row r="409" ht="15.75" customHeight="1">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row>
    <row r="410" ht="15.75" customHeight="1">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row>
    <row r="411" ht="15.75" customHeight="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row>
    <row r="412" ht="15.75" customHeight="1">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row>
    <row r="413" ht="15.75" customHeight="1">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row>
    <row r="414" ht="15.75" customHeight="1">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row>
    <row r="415" ht="15.75" customHeight="1">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row>
    <row r="416" ht="15.75" customHeight="1">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row>
    <row r="417" ht="15.75" customHeight="1">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row>
    <row r="418" ht="15.75" customHeight="1">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row>
    <row r="419" ht="15.75" customHeight="1">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row>
    <row r="420" ht="15.75" customHeight="1">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row>
    <row r="421" ht="15.75" customHeight="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row>
    <row r="422" ht="15.75" customHeight="1">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row>
    <row r="423" ht="15.75" customHeight="1">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row>
    <row r="424" ht="15.75" customHeight="1">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row>
    <row r="425" ht="15.75" customHeight="1">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row>
    <row r="426" ht="15.75" customHeight="1">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row>
    <row r="427" ht="15.75" customHeight="1">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row>
    <row r="428" ht="15.75" customHeight="1">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row>
    <row r="429" ht="15.75" customHeight="1">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row>
    <row r="430" ht="15.75" customHeight="1">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row>
    <row r="431" ht="15.75" customHeight="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row>
    <row r="432" ht="15.75" customHeight="1">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row>
    <row r="433" ht="15.75" customHeight="1">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row>
    <row r="434" ht="15.75" customHeight="1">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row>
    <row r="435" ht="15.75" customHeight="1">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row>
    <row r="436" ht="15.75" customHeight="1">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row>
    <row r="437" ht="15.75" customHeight="1">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row>
    <row r="438" ht="15.75" customHeight="1">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row>
    <row r="439" ht="15.75" customHeight="1">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row>
    <row r="440" ht="15.75" customHeight="1">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row>
    <row r="441" ht="15.75" customHeight="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row>
    <row r="442" ht="15.75" customHeight="1">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row>
    <row r="443" ht="15.75" customHeight="1">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row>
    <row r="444" ht="15.75" customHeight="1">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row>
    <row r="445" ht="15.75" customHeight="1">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row>
    <row r="446" ht="15.75" customHeight="1">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row>
    <row r="447" ht="15.75" customHeight="1">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row>
    <row r="448" ht="15.75" customHeight="1">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row>
    <row r="449" ht="15.75" customHeight="1">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row>
    <row r="450" ht="15.75" customHeight="1">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row>
    <row r="451" ht="15.75" customHeight="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row>
    <row r="452" ht="15.75" customHeight="1">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row>
    <row r="453" ht="15.75" customHeight="1">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row>
    <row r="454" ht="15.75" customHeight="1">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row>
    <row r="455" ht="15.75" customHeight="1">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row>
    <row r="456" ht="15.75" customHeight="1">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row>
    <row r="457" ht="15.75" customHeight="1">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row>
    <row r="458" ht="15.75" customHeight="1">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row>
    <row r="459" ht="15.75" customHeight="1">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row>
    <row r="460" ht="15.75" customHeight="1">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row>
    <row r="461" ht="15.75" customHeight="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row>
    <row r="462" ht="15.75" customHeight="1">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row>
    <row r="463" ht="15.75" customHeight="1">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row>
    <row r="464" ht="15.75" customHeight="1">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row>
    <row r="465" ht="15.75" customHeight="1">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row>
    <row r="466" ht="15.75" customHeight="1">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row>
    <row r="467" ht="15.75" customHeight="1">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row>
    <row r="468" ht="15.75" customHeight="1">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row>
    <row r="469" ht="15.75" customHeight="1">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row>
    <row r="470" ht="15.75" customHeight="1">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row>
    <row r="471" ht="15.75" customHeight="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row>
    <row r="472" ht="15.75" customHeight="1">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row>
    <row r="473" ht="15.75" customHeight="1">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row>
    <row r="474" ht="15.75" customHeight="1">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row>
    <row r="475" ht="15.75" customHeight="1">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row>
    <row r="476" ht="15.75" customHeight="1">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row>
    <row r="477" ht="15.75" customHeight="1">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row>
    <row r="478" ht="15.75" customHeight="1">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row>
    <row r="479" ht="15.75" customHeight="1">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row>
    <row r="480" ht="15.75" customHeight="1">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row>
    <row r="481" ht="15.75" customHeight="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row>
    <row r="482" ht="15.75" customHeight="1">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row>
    <row r="483" ht="15.75" customHeight="1">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row>
    <row r="484" ht="15.75" customHeight="1">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row>
    <row r="485" ht="15.75" customHeight="1">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row>
    <row r="486" ht="15.75" customHeight="1">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row>
    <row r="487" ht="15.75" customHeight="1">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row>
    <row r="488" ht="15.75" customHeight="1">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row>
    <row r="489" ht="15.75" customHeight="1">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row>
    <row r="490" ht="15.75" customHeight="1">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row>
    <row r="491" ht="15.75" customHeight="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row>
    <row r="492" ht="15.75" customHeight="1">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row>
    <row r="493" ht="15.75" customHeight="1">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row>
    <row r="494" ht="15.75" customHeight="1">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row>
    <row r="495" ht="15.75" customHeight="1">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row>
    <row r="496" ht="15.75" customHeight="1">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row>
    <row r="497" ht="15.75" customHeight="1">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row>
    <row r="498" ht="15.75" customHeight="1">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row>
    <row r="499" ht="15.75" customHeight="1">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row>
    <row r="500" ht="15.75" customHeight="1">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row>
    <row r="501" ht="15.75" customHeight="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row>
    <row r="502" ht="15.75" customHeight="1">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row>
    <row r="503" ht="15.75" customHeight="1">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row>
    <row r="504" ht="15.75" customHeight="1">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row>
    <row r="505" ht="15.75" customHeight="1">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row>
    <row r="506" ht="15.75" customHeight="1">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row>
    <row r="507" ht="15.75" customHeight="1">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row>
    <row r="508" ht="15.75" customHeight="1">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row>
    <row r="509" ht="15.75" customHeight="1">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row>
    <row r="510" ht="15.75" customHeight="1">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row>
    <row r="511" ht="15.75" customHeight="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row>
    <row r="512" ht="15.75" customHeight="1">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row>
    <row r="513" ht="15.75" customHeight="1">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row>
    <row r="514" ht="15.75" customHeight="1">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row>
    <row r="515" ht="15.75" customHeight="1">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row>
    <row r="516" ht="15.75" customHeight="1">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row>
    <row r="517" ht="15.75" customHeight="1">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row>
    <row r="518" ht="15.75" customHeight="1">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row>
    <row r="519" ht="15.75" customHeight="1">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row>
    <row r="520" ht="15.75" customHeight="1">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row>
    <row r="521" ht="15.75" customHeight="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row>
    <row r="522" ht="15.75" customHeight="1">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row>
    <row r="523" ht="15.75" customHeight="1">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row>
    <row r="524" ht="15.75" customHeight="1">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row>
    <row r="525" ht="15.75" customHeight="1">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row>
    <row r="526" ht="15.75" customHeight="1">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row>
    <row r="527" ht="15.75" customHeight="1">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row>
    <row r="528" ht="15.75" customHeight="1">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row>
    <row r="529" ht="15.75" customHeight="1">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row>
    <row r="530" ht="15.75" customHeight="1">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row>
    <row r="531" ht="15.75" customHeight="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row>
    <row r="532" ht="15.75" customHeight="1">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row>
    <row r="533" ht="15.75" customHeight="1">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row>
    <row r="534" ht="15.75" customHeight="1">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row>
    <row r="535" ht="15.75" customHeight="1">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row>
    <row r="536" ht="15.75" customHeight="1">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row>
    <row r="537" ht="15.75" customHeight="1">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row>
    <row r="538" ht="15.75" customHeight="1">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row>
    <row r="539" ht="15.75" customHeight="1">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row>
    <row r="540" ht="15.75" customHeight="1">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row>
    <row r="541" ht="15.75" customHeight="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row>
    <row r="542" ht="15.75" customHeight="1">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row>
    <row r="543" ht="15.75" customHeight="1">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row>
    <row r="544" ht="15.75" customHeight="1">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row>
    <row r="545" ht="15.75" customHeight="1">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row>
    <row r="546" ht="15.75" customHeight="1">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row>
    <row r="547" ht="15.75" customHeight="1">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row>
    <row r="548" ht="15.75" customHeight="1">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row>
    <row r="549" ht="15.75" customHeight="1">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row>
    <row r="550" ht="15.75" customHeight="1">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row>
    <row r="551" ht="15.75" customHeight="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row>
    <row r="552" ht="15.75" customHeight="1">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row>
    <row r="553" ht="15.75" customHeight="1">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row>
    <row r="554" ht="15.75" customHeight="1">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row>
    <row r="555" ht="15.75" customHeight="1">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row>
    <row r="556" ht="15.75" customHeight="1">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row>
    <row r="557" ht="15.75" customHeight="1">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row>
    <row r="558" ht="15.75" customHeight="1">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row>
    <row r="559" ht="15.75" customHeight="1">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row>
    <row r="560" ht="15.75" customHeight="1">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row>
    <row r="561" ht="15.75" customHeight="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row>
    <row r="562" ht="15.75" customHeight="1">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row>
    <row r="563" ht="15.75" customHeight="1">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row>
    <row r="564" ht="15.75" customHeight="1">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row>
    <row r="565" ht="15.75" customHeight="1">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row>
    <row r="566" ht="15.75" customHeight="1">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row>
    <row r="567" ht="15.75" customHeight="1">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row>
    <row r="568" ht="15.75" customHeight="1">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row>
    <row r="569" ht="15.75" customHeight="1">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row>
    <row r="570" ht="15.75" customHeight="1">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row>
    <row r="571" ht="15.75" customHeight="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row>
    <row r="572" ht="15.75" customHeight="1">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row>
    <row r="573" ht="15.75" customHeight="1">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row>
    <row r="574" ht="15.75" customHeight="1">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row>
    <row r="575" ht="15.75" customHeight="1">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row>
    <row r="576" ht="15.75" customHeight="1">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row>
    <row r="577" ht="15.75" customHeight="1">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row>
    <row r="578" ht="15.75" customHeight="1">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row>
    <row r="579" ht="15.75" customHeight="1">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row>
    <row r="580" ht="15.75" customHeight="1">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row>
    <row r="581" ht="15.75" customHeight="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row>
    <row r="582" ht="15.75" customHeight="1">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row>
    <row r="583" ht="15.75" customHeight="1">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row>
    <row r="584" ht="15.75" customHeight="1">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row>
    <row r="585" ht="15.75" customHeight="1">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row>
    <row r="586" ht="15.75" customHeight="1">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row>
    <row r="587" ht="15.75" customHeight="1">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row>
    <row r="588" ht="15.75" customHeight="1">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row>
    <row r="589" ht="15.75" customHeight="1">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row>
    <row r="590" ht="15.75" customHeight="1">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row>
    <row r="591" ht="15.75" customHeight="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row>
    <row r="592" ht="15.75" customHeight="1">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row>
    <row r="593" ht="15.75" customHeight="1">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row>
    <row r="594" ht="15.75" customHeight="1">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row>
    <row r="595" ht="15.75" customHeight="1">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row>
    <row r="596" ht="15.75" customHeight="1">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row>
    <row r="597" ht="15.75" customHeight="1">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row>
    <row r="598" ht="15.75" customHeight="1">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row>
    <row r="599" ht="15.75" customHeight="1">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row>
    <row r="600" ht="15.75" customHeight="1">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row>
    <row r="601" ht="15.75" customHeight="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row>
    <row r="602" ht="15.75" customHeight="1">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row>
    <row r="603" ht="15.75" customHeight="1">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row>
    <row r="604" ht="15.75" customHeight="1">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row>
    <row r="605" ht="15.75" customHeight="1">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row>
    <row r="606" ht="15.75" customHeight="1">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row>
    <row r="607" ht="15.75" customHeight="1">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row>
    <row r="608" ht="15.75" customHeight="1">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row>
    <row r="609" ht="15.75" customHeight="1">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row>
    <row r="610" ht="15.75" customHeight="1">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row>
    <row r="611" ht="15.75" customHeight="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row>
    <row r="612" ht="15.75" customHeight="1">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row>
    <row r="613" ht="15.75" customHeight="1">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row>
    <row r="614" ht="15.75" customHeight="1">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row>
    <row r="615" ht="15.75" customHeight="1">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row>
    <row r="616" ht="15.75" customHeight="1">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row>
    <row r="617" ht="15.75" customHeight="1">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row>
    <row r="618" ht="15.75" customHeight="1">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row>
    <row r="619" ht="15.75" customHeight="1">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row>
    <row r="620" ht="15.75" customHeight="1">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row>
    <row r="621" ht="15.75" customHeight="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row>
    <row r="622" ht="15.75" customHeight="1">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row>
    <row r="623" ht="15.75" customHeight="1">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row>
    <row r="624" ht="15.75" customHeight="1">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row>
    <row r="625" ht="15.75" customHeight="1">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row>
    <row r="626" ht="15.75" customHeight="1">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row>
    <row r="627" ht="15.75" customHeight="1">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row>
    <row r="628" ht="15.75" customHeight="1">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row>
    <row r="629" ht="15.75" customHeight="1">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row>
    <row r="630" ht="15.75" customHeight="1">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row>
    <row r="631" ht="15.75" customHeight="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row>
    <row r="632" ht="15.75" customHeight="1">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row>
    <row r="633" ht="15.75" customHeight="1">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row>
    <row r="634" ht="15.75" customHeight="1">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row>
    <row r="635" ht="15.75" customHeight="1">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row>
    <row r="636" ht="15.75" customHeight="1">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row>
    <row r="637" ht="15.75" customHeight="1">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row>
    <row r="638" ht="15.75" customHeight="1">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row>
    <row r="639" ht="15.75" customHeight="1">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row>
    <row r="640" ht="15.75" customHeight="1">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row>
    <row r="641" ht="15.75" customHeight="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row>
    <row r="642" ht="15.75" customHeight="1">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row>
    <row r="643" ht="15.75" customHeight="1">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row>
    <row r="644" ht="15.75" customHeight="1">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row>
    <row r="645" ht="15.75" customHeight="1">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row>
    <row r="646" ht="15.75" customHeight="1">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row>
    <row r="647" ht="15.75" customHeight="1">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row>
    <row r="648" ht="15.75" customHeight="1">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row>
    <row r="649" ht="15.75" customHeight="1">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row>
    <row r="650" ht="15.75" customHeight="1">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row>
    <row r="651" ht="15.75" customHeight="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row>
    <row r="652" ht="15.75" customHeight="1">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row>
    <row r="653" ht="15.75" customHeight="1">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row>
    <row r="654" ht="15.75" customHeight="1">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row>
    <row r="655" ht="15.75" customHeight="1">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row>
    <row r="656" ht="15.75" customHeight="1">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row>
    <row r="657" ht="15.75" customHeight="1">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row>
    <row r="658" ht="15.75" customHeight="1">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row>
    <row r="659" ht="15.75" customHeight="1">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row>
    <row r="660" ht="15.75" customHeight="1">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row>
    <row r="661" ht="15.75" customHeight="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row>
    <row r="662" ht="15.75" customHeight="1">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row>
    <row r="663" ht="15.75" customHeight="1">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row>
    <row r="664" ht="15.75" customHeight="1">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row>
    <row r="665" ht="15.75" customHeight="1">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row>
    <row r="666" ht="15.75" customHeight="1">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row>
    <row r="667" ht="15.75" customHeight="1">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row>
    <row r="668" ht="15.75" customHeight="1">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row>
    <row r="669" ht="15.75" customHeight="1">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row>
    <row r="670" ht="15.75" customHeight="1">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row>
    <row r="671" ht="15.75" customHeight="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row>
    <row r="672" ht="15.75" customHeight="1">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row>
    <row r="673" ht="15.75" customHeight="1">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row>
    <row r="674" ht="15.75" customHeight="1">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row>
    <row r="675" ht="15.75" customHeight="1">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row>
    <row r="676" ht="15.75" customHeight="1">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row>
    <row r="677" ht="15.75" customHeight="1">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row>
    <row r="678" ht="15.75" customHeight="1">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row>
    <row r="679" ht="15.75" customHeight="1">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row>
    <row r="680" ht="15.75" customHeight="1">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row>
    <row r="681" ht="15.75" customHeight="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row>
    <row r="682" ht="15.75" customHeight="1">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row>
    <row r="683" ht="15.75" customHeight="1">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row>
    <row r="684" ht="15.75" customHeight="1">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row>
    <row r="685" ht="15.75" customHeight="1">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row>
    <row r="686" ht="15.75" customHeight="1">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row>
    <row r="687" ht="15.75" customHeight="1">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row>
    <row r="688" ht="15.75" customHeight="1">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row>
    <row r="689" ht="15.75" customHeight="1">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row>
    <row r="690" ht="15.75" customHeight="1">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row>
    <row r="691" ht="15.75" customHeight="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row>
    <row r="692" ht="15.75" customHeight="1">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row>
    <row r="693" ht="15.75" customHeight="1">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row>
    <row r="694" ht="15.75" customHeight="1">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row>
    <row r="695" ht="15.75" customHeight="1">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row>
    <row r="696" ht="15.75" customHeight="1">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row>
    <row r="697" ht="15.75" customHeight="1">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row>
    <row r="698" ht="15.75" customHeight="1">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row>
    <row r="699" ht="15.75" customHeight="1">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row>
    <row r="700" ht="15.75" customHeight="1">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row>
    <row r="701" ht="15.75" customHeight="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row>
    <row r="702" ht="15.75" customHeight="1">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row>
    <row r="703" ht="15.75" customHeight="1">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row>
    <row r="704" ht="15.75" customHeight="1">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row>
    <row r="705" ht="15.75" customHeight="1">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row>
    <row r="706" ht="15.75" customHeight="1">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row>
    <row r="707" ht="15.75" customHeight="1">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row>
    <row r="708" ht="15.75" customHeight="1">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row>
    <row r="709" ht="15.75" customHeight="1">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row>
    <row r="710" ht="15.75" customHeight="1">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row>
    <row r="711" ht="15.75" customHeight="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row>
    <row r="712" ht="15.75" customHeight="1">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row>
    <row r="713" ht="15.75" customHeight="1">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row>
    <row r="714" ht="15.75" customHeight="1">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row>
    <row r="715" ht="15.75" customHeight="1">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row>
    <row r="716" ht="15.75" customHeight="1">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row>
    <row r="717" ht="15.75" customHeight="1">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row>
    <row r="718" ht="15.75" customHeight="1">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row>
    <row r="719" ht="15.75" customHeight="1">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row>
    <row r="720" ht="15.75" customHeight="1">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row>
    <row r="721" ht="15.75" customHeight="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row>
    <row r="722" ht="15.75" customHeight="1">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row>
    <row r="723" ht="15.75" customHeight="1">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row>
    <row r="724" ht="15.75" customHeight="1">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row>
    <row r="725" ht="15.75" customHeight="1">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row>
    <row r="726" ht="15.75" customHeight="1">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row>
    <row r="727" ht="15.75" customHeight="1">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row>
    <row r="728" ht="15.75" customHeight="1">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row>
    <row r="729" ht="15.75" customHeight="1">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row>
    <row r="730" ht="15.75" customHeight="1">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row>
    <row r="731" ht="15.75" customHeight="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row>
    <row r="732" ht="15.75" customHeight="1">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row>
    <row r="733" ht="15.75" customHeight="1">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row>
    <row r="734" ht="15.75" customHeight="1">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row>
    <row r="735" ht="15.75" customHeight="1">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row>
    <row r="736" ht="15.75" customHeight="1">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row>
    <row r="737" ht="15.75" customHeight="1">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row>
    <row r="738" ht="15.75" customHeight="1">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row>
    <row r="739" ht="15.75" customHeight="1">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row>
    <row r="740" ht="15.75" customHeight="1">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row>
    <row r="741" ht="15.75" customHeight="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row>
    <row r="742" ht="15.75" customHeight="1">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row>
    <row r="743" ht="15.75" customHeight="1">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row>
    <row r="744" ht="15.75" customHeight="1">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row>
    <row r="745" ht="15.75" customHeight="1">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row>
    <row r="746" ht="15.75" customHeight="1">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row>
    <row r="747" ht="15.75" customHeight="1">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row>
    <row r="748" ht="15.75" customHeight="1">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row>
    <row r="749" ht="15.75" customHeight="1">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row>
    <row r="750" ht="15.75" customHeight="1">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row>
    <row r="751" ht="15.75" customHeight="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row>
    <row r="752" ht="15.75" customHeight="1">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row>
    <row r="753" ht="15.75" customHeight="1">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row>
    <row r="754" ht="15.75" customHeight="1">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row>
    <row r="755" ht="15.75" customHeight="1">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row>
    <row r="756" ht="15.75" customHeight="1">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row>
    <row r="757" ht="15.75" customHeight="1">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row>
    <row r="758" ht="15.75" customHeight="1">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row>
    <row r="759" ht="15.75" customHeight="1">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row>
    <row r="760" ht="15.75" customHeight="1">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row>
    <row r="761" ht="15.75" customHeight="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row>
    <row r="762" ht="15.75" customHeight="1">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row>
    <row r="763" ht="15.75" customHeight="1">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row>
    <row r="764" ht="15.75" customHeight="1">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row>
    <row r="765" ht="15.75" customHeight="1">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row>
    <row r="766" ht="15.75" customHeight="1">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row>
    <row r="767" ht="15.75" customHeight="1">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row>
    <row r="768" ht="15.75" customHeight="1">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row>
    <row r="769" ht="15.75" customHeight="1">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row>
    <row r="770" ht="15.75" customHeight="1">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row>
    <row r="771" ht="15.75" customHeight="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row>
    <row r="772" ht="15.75" customHeight="1">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row>
    <row r="773" ht="15.75" customHeight="1">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row>
    <row r="774" ht="15.75" customHeight="1">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row>
    <row r="775" ht="15.75" customHeight="1">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row>
    <row r="776" ht="15.75" customHeight="1">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row>
    <row r="777" ht="15.75" customHeight="1">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row>
    <row r="778" ht="15.75" customHeight="1">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row>
    <row r="779" ht="15.75" customHeight="1">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row>
    <row r="780" ht="15.75" customHeight="1">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row>
    <row r="781" ht="15.75" customHeight="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row>
    <row r="782" ht="15.75" customHeight="1">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row>
    <row r="783" ht="15.75" customHeight="1">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row>
    <row r="784" ht="15.75" customHeight="1">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row>
    <row r="785" ht="15.75" customHeight="1">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row>
    <row r="786" ht="15.75" customHeight="1">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row>
    <row r="787" ht="15.75" customHeight="1">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row>
    <row r="788" ht="15.75" customHeight="1">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row>
    <row r="789" ht="15.75" customHeight="1">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row>
    <row r="790" ht="15.75" customHeight="1">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row>
    <row r="791" ht="15.75" customHeight="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row>
    <row r="792" ht="15.75" customHeight="1">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row>
    <row r="793" ht="15.75" customHeight="1">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row>
    <row r="794" ht="15.75" customHeight="1">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row>
    <row r="795" ht="15.75" customHeight="1">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row>
    <row r="796" ht="15.75" customHeight="1">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row>
    <row r="797" ht="15.75" customHeight="1">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row>
    <row r="798" ht="15.75" customHeight="1">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row>
    <row r="799" ht="15.75" customHeight="1">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row>
    <row r="800" ht="15.75" customHeight="1">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row>
    <row r="801" ht="15.75" customHeight="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row>
    <row r="802" ht="15.75" customHeight="1">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row>
    <row r="803" ht="15.75" customHeight="1">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row>
    <row r="804" ht="15.75" customHeight="1">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row>
    <row r="805" ht="15.75" customHeight="1">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row>
    <row r="806" ht="15.75" customHeight="1">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row>
    <row r="807" ht="15.75" customHeight="1">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row>
    <row r="808" ht="15.75" customHeight="1">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row>
    <row r="809" ht="15.75" customHeight="1">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row>
    <row r="810" ht="15.75" customHeight="1">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row>
    <row r="811" ht="15.75" customHeight="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row>
    <row r="812" ht="15.75" customHeight="1">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row>
    <row r="813" ht="15.75" customHeight="1">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row>
    <row r="814" ht="15.75" customHeight="1">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row>
    <row r="815" ht="15.75" customHeight="1">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row>
    <row r="816" ht="15.75" customHeight="1">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row>
    <row r="817" ht="15.75" customHeight="1">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row>
    <row r="818" ht="15.75" customHeight="1">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row>
    <row r="819" ht="15.75" customHeight="1">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row>
    <row r="820" ht="15.75" customHeight="1">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row>
    <row r="821" ht="15.75" customHeight="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row>
    <row r="822" ht="15.75" customHeight="1">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row>
    <row r="823" ht="15.75" customHeight="1">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row>
    <row r="824" ht="15.75" customHeight="1">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row>
    <row r="825" ht="15.75" customHeight="1">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row>
    <row r="826" ht="15.75" customHeight="1">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row>
    <row r="827" ht="15.75" customHeight="1">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row>
    <row r="828" ht="15.75" customHeight="1">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row>
    <row r="829" ht="15.75" customHeight="1">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row>
    <row r="830" ht="15.75" customHeight="1">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row>
    <row r="831" ht="15.75" customHeight="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row>
    <row r="832" ht="15.75" customHeight="1">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row>
    <row r="833" ht="15.75" customHeight="1">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row>
    <row r="834" ht="15.75" customHeight="1">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row>
    <row r="835" ht="15.75" customHeight="1">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row>
    <row r="836" ht="15.75" customHeight="1">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row>
    <row r="837" ht="15.75" customHeight="1">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row>
    <row r="838" ht="15.75" customHeight="1">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row>
    <row r="839" ht="15.75" customHeight="1">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row>
    <row r="840" ht="15.75" customHeight="1">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row>
    <row r="841" ht="15.75" customHeight="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row>
    <row r="842" ht="15.75" customHeight="1">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row>
    <row r="843" ht="15.75" customHeight="1">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row>
    <row r="844" ht="15.75" customHeight="1">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row>
    <row r="845" ht="15.75" customHeight="1">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row>
    <row r="846" ht="15.75" customHeight="1">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row>
    <row r="847" ht="15.75" customHeight="1">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row>
    <row r="848" ht="15.75" customHeight="1">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row>
    <row r="849" ht="15.75" customHeight="1">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row>
    <row r="850" ht="15.75" customHeight="1">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row>
    <row r="851" ht="15.75" customHeight="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row>
    <row r="852" ht="15.75" customHeight="1">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row>
    <row r="853" ht="15.75" customHeight="1">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row>
    <row r="854" ht="15.75" customHeight="1">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row>
    <row r="855" ht="15.75" customHeight="1">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row>
    <row r="856" ht="15.75" customHeight="1">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row>
    <row r="857" ht="15.75" customHeight="1">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row>
    <row r="858" ht="15.75" customHeight="1">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row>
    <row r="859" ht="15.75" customHeight="1">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row>
    <row r="860" ht="15.75" customHeight="1">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row>
    <row r="861" ht="15.75" customHeight="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row>
    <row r="862" ht="15.75" customHeight="1">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row>
    <row r="863" ht="15.75" customHeight="1">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row>
    <row r="864" ht="15.75" customHeight="1">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row>
    <row r="865" ht="15.75" customHeight="1">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row>
    <row r="866" ht="15.75" customHeight="1">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row>
    <row r="867" ht="15.75" customHeight="1">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row>
    <row r="868" ht="15.75" customHeight="1">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row>
    <row r="869" ht="15.75" customHeight="1">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row>
    <row r="870" ht="15.75" customHeight="1">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row>
    <row r="871" ht="15.75" customHeight="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row>
    <row r="872" ht="15.75" customHeight="1">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row>
    <row r="873" ht="15.75" customHeight="1">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row>
    <row r="874" ht="15.75" customHeight="1">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row>
    <row r="875" ht="15.75" customHeight="1">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row>
    <row r="876" ht="15.75" customHeight="1">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row>
    <row r="877" ht="15.75" customHeight="1">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row>
    <row r="878" ht="15.75" customHeight="1">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row>
    <row r="879" ht="15.75" customHeight="1">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row>
    <row r="880" ht="15.75" customHeight="1">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row>
    <row r="881" ht="15.75" customHeight="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row>
    <row r="882" ht="15.75" customHeight="1">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row>
    <row r="883" ht="15.75" customHeight="1">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row>
    <row r="884" ht="15.75" customHeight="1">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row>
    <row r="885" ht="15.75" customHeight="1">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row>
    <row r="886" ht="15.75" customHeight="1">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row>
    <row r="887" ht="15.75" customHeight="1">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row>
    <row r="888" ht="15.75" customHeight="1">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row>
    <row r="889" ht="15.75" customHeight="1">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row>
    <row r="890" ht="15.75" customHeight="1">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row>
    <row r="891" ht="15.75" customHeight="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row>
    <row r="892" ht="15.75" customHeight="1">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row>
    <row r="893" ht="15.75" customHeight="1">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row>
    <row r="894" ht="15.75" customHeight="1">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row>
    <row r="895" ht="15.75" customHeight="1">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row>
    <row r="896" ht="15.75" customHeight="1">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row>
    <row r="897" ht="15.75" customHeight="1">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row>
    <row r="898" ht="15.75" customHeight="1">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row>
    <row r="899" ht="15.75" customHeight="1">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row>
    <row r="900" ht="15.75" customHeight="1">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row>
    <row r="901" ht="15.75" customHeight="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row>
    <row r="902" ht="15.75" customHeight="1">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row>
    <row r="903" ht="15.75" customHeight="1">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row>
    <row r="904" ht="15.75" customHeight="1">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row>
    <row r="905" ht="15.75" customHeight="1">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row>
    <row r="906" ht="15.75" customHeight="1">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row>
    <row r="907" ht="15.75" customHeight="1">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row>
    <row r="908" ht="15.75" customHeight="1">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row>
    <row r="909" ht="15.75" customHeight="1">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row>
    <row r="910" ht="15.75" customHeight="1">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row>
    <row r="911" ht="15.75" customHeight="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row>
    <row r="912" ht="15.75" customHeight="1">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row>
    <row r="913" ht="15.75" customHeight="1">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row>
    <row r="914" ht="15.75" customHeight="1">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row>
    <row r="915" ht="15.75" customHeight="1">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row>
    <row r="916" ht="15.75" customHeight="1">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row>
    <row r="917" ht="15.75" customHeight="1">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row>
    <row r="918" ht="15.75" customHeight="1">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row>
    <row r="919" ht="15.75" customHeight="1">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row>
    <row r="920" ht="15.75" customHeight="1">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row>
    <row r="921" ht="15.75" customHeight="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row>
    <row r="922" ht="15.75" customHeight="1">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row>
    <row r="923" ht="15.75" customHeight="1">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row>
    <row r="924" ht="15.75" customHeight="1">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row>
    <row r="925" ht="15.75" customHeight="1">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row>
    <row r="926" ht="15.75" customHeight="1">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row>
    <row r="927" ht="15.75" customHeight="1">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row>
    <row r="928" ht="15.75" customHeight="1">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row>
    <row r="929" ht="15.75" customHeight="1">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row>
    <row r="930" ht="15.75" customHeight="1">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row>
    <row r="931" ht="15.75" customHeight="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row>
    <row r="932" ht="15.75" customHeight="1">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row>
    <row r="933" ht="15.75" customHeight="1">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row>
    <row r="934" ht="15.75" customHeight="1">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row>
    <row r="935" ht="15.75" customHeight="1">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row>
    <row r="936" ht="15.75" customHeight="1">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row>
    <row r="937" ht="15.75" customHeight="1">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row>
    <row r="938" ht="15.75" customHeight="1">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row>
    <row r="939" ht="15.75" customHeight="1">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row>
    <row r="940" ht="15.75" customHeight="1">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row>
    <row r="941" ht="15.75" customHeight="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row>
    <row r="942" ht="15.75" customHeight="1">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row>
    <row r="943" ht="15.75" customHeight="1">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row>
    <row r="944" ht="15.75" customHeight="1">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row>
    <row r="945" ht="15.75" customHeight="1">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row>
    <row r="946" ht="15.75" customHeight="1">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row>
    <row r="947" ht="15.75" customHeight="1">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row>
    <row r="948" ht="15.75" customHeight="1">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row>
    <row r="949" ht="15.75" customHeight="1">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row>
    <row r="950" ht="15.75" customHeight="1">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row>
    <row r="951" ht="15.75" customHeight="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row>
    <row r="952" ht="15.75" customHeight="1">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row>
    <row r="953" ht="15.75" customHeight="1">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row>
    <row r="954" ht="15.75" customHeight="1">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row>
    <row r="955" ht="15.75" customHeight="1">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row>
    <row r="956" ht="15.75" customHeight="1">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row>
    <row r="957" ht="15.75" customHeight="1">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row>
    <row r="958" ht="15.75" customHeight="1">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row>
    <row r="959" ht="15.75" customHeight="1">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row>
    <row r="960" ht="15.75" customHeight="1">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row>
    <row r="961" ht="15.75" customHeight="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row>
    <row r="962" ht="15.75" customHeight="1">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row>
    <row r="963" ht="15.75" customHeight="1">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row>
    <row r="964" ht="15.75" customHeight="1">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row>
    <row r="965" ht="15.75" customHeight="1">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row>
    <row r="966" ht="15.75" customHeight="1">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row>
    <row r="967" ht="15.75" customHeight="1">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row>
    <row r="968" ht="15.75" customHeight="1">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row>
    <row r="969" ht="15.75" customHeight="1">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row>
    <row r="970" ht="15.75" customHeight="1">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row>
    <row r="971" ht="15.75" customHeight="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row>
    <row r="972" ht="15.75" customHeight="1">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row>
    <row r="973" ht="15.75" customHeight="1">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row>
    <row r="974" ht="15.75" customHeight="1">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row>
    <row r="975" ht="15.75" customHeight="1">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row>
    <row r="976" ht="15.75" customHeight="1">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row>
    <row r="977" ht="15.75" customHeight="1">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row>
    <row r="978" ht="15.75" customHeight="1">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row>
    <row r="979" ht="15.75" customHeight="1">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row>
    <row r="980" ht="15.75" customHeight="1">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row>
    <row r="981" ht="15.75" customHeight="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row>
    <row r="982" ht="15.75" customHeight="1">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row>
    <row r="983" ht="15.75" customHeight="1">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row>
    <row r="984" ht="15.75" customHeight="1">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row>
    <row r="985" ht="15.75" customHeight="1">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row>
    <row r="986" ht="15.75" customHeight="1">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row>
    <row r="987" ht="15.75" customHeight="1">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row>
    <row r="988" ht="15.75" customHeight="1">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row>
    <row r="989" ht="15.75" customHeight="1">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row>
    <row r="990" ht="15.75" customHeight="1">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row>
    <row r="991" ht="15.75" customHeight="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row>
    <row r="992" ht="15.75" customHeight="1">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row>
    <row r="993" ht="15.75" customHeight="1">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row>
    <row r="994" ht="15.75" customHeight="1">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row>
    <row r="995" ht="15.75" customHeight="1">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row>
    <row r="996" ht="15.75" customHeight="1">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row>
    <row r="997" ht="15.75" customHeight="1">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row>
    <row r="998" ht="15.75" customHeight="1">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row>
    <row r="999" ht="15.75" customHeight="1">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row>
    <row r="1000" ht="15.75" customHeight="1">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row>
  </sheetData>
  <mergeCells count="65">
    <mergeCell ref="A26:P26"/>
    <mergeCell ref="D27:F27"/>
    <mergeCell ref="G27:I27"/>
    <mergeCell ref="J27:L27"/>
    <mergeCell ref="M27:O27"/>
    <mergeCell ref="P27:P28"/>
    <mergeCell ref="D33:F33"/>
    <mergeCell ref="M33:O33"/>
    <mergeCell ref="G33:I33"/>
    <mergeCell ref="J33:L33"/>
    <mergeCell ref="D34:F34"/>
    <mergeCell ref="G34:I34"/>
    <mergeCell ref="J34:L34"/>
    <mergeCell ref="M34:O34"/>
    <mergeCell ref="A37:P37"/>
    <mergeCell ref="A38:A39"/>
    <mergeCell ref="A44:A45"/>
    <mergeCell ref="B44:B45"/>
    <mergeCell ref="D44:F44"/>
    <mergeCell ref="G44:I44"/>
    <mergeCell ref="J44:L44"/>
    <mergeCell ref="M44:O44"/>
    <mergeCell ref="P44:P45"/>
    <mergeCell ref="B38:B39"/>
    <mergeCell ref="D38:F38"/>
    <mergeCell ref="G38:I38"/>
    <mergeCell ref="J38:L38"/>
    <mergeCell ref="M38:O38"/>
    <mergeCell ref="P38:P39"/>
    <mergeCell ref="A43:P43"/>
    <mergeCell ref="M6:O6"/>
    <mergeCell ref="P6:P7"/>
    <mergeCell ref="A6:A7"/>
    <mergeCell ref="A13:A14"/>
    <mergeCell ref="B13:B14"/>
    <mergeCell ref="A20:A21"/>
    <mergeCell ref="B20:B21"/>
    <mergeCell ref="A27:A28"/>
    <mergeCell ref="B27:B28"/>
    <mergeCell ref="A1:P1"/>
    <mergeCell ref="A5:P5"/>
    <mergeCell ref="B6:B7"/>
    <mergeCell ref="D6:F6"/>
    <mergeCell ref="G6:I6"/>
    <mergeCell ref="J6:L6"/>
    <mergeCell ref="A12:P12"/>
    <mergeCell ref="J16:L16"/>
    <mergeCell ref="M16:O16"/>
    <mergeCell ref="D13:F13"/>
    <mergeCell ref="G13:I13"/>
    <mergeCell ref="J13:L13"/>
    <mergeCell ref="M13:O13"/>
    <mergeCell ref="P13:P14"/>
    <mergeCell ref="D16:F16"/>
    <mergeCell ref="G16:I16"/>
    <mergeCell ref="J20:L20"/>
    <mergeCell ref="M20:O20"/>
    <mergeCell ref="P20:P21"/>
    <mergeCell ref="D17:F17"/>
    <mergeCell ref="G17:I17"/>
    <mergeCell ref="J17:L17"/>
    <mergeCell ref="M17:O17"/>
    <mergeCell ref="A19:P19"/>
    <mergeCell ref="D20:F20"/>
    <mergeCell ref="G20:I20"/>
  </mergeCells>
  <printOptions/>
  <pageMargins bottom="1.0" footer="0.0" header="0.0" left="0.75" right="0.75" top="1.0"/>
  <pageSetup orientation="landscape"/>
  <drawing r:id="rId2"/>
  <legacyDrawing r:id="rId3"/>
</worksheet>
</file>